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工作相关\论文\已投稿-EJOR-基于共享投入的副生产法\投稿\EJOR\一审\"/>
    </mc:Choice>
  </mc:AlternateContent>
  <xr:revisionPtr revIDLastSave="0" documentId="13_ncr:1_{EC141758-05E4-4B15-A8C5-DA01C5F915AE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Raw data" sheetId="1" r:id="rId1"/>
    <sheet name="Results" sheetId="10" r:id="rId2"/>
    <sheet name="PT" sheetId="11" r:id="rId3"/>
  </sheets>
  <definedNames>
    <definedName name="_xlnm._FilterDatabase" localSheetId="1" hidden="1">Results!$A$1:$I$121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9" i="11" l="1"/>
  <c r="AF40" i="11"/>
  <c r="AF38" i="11"/>
  <c r="AF32" i="11"/>
  <c r="AF33" i="11"/>
  <c r="AF31" i="11"/>
  <c r="AF25" i="11"/>
  <c r="AF26" i="11"/>
  <c r="AF24" i="11"/>
  <c r="AF61" i="11"/>
  <c r="AF60" i="11"/>
  <c r="AF59" i="11"/>
  <c r="AF58" i="11"/>
  <c r="AF54" i="11"/>
  <c r="AF53" i="11"/>
  <c r="AF52" i="11"/>
  <c r="AF51" i="11"/>
  <c r="AF45" i="11"/>
  <c r="AF46" i="11"/>
  <c r="AF47" i="11"/>
  <c r="AF44" i="11"/>
  <c r="B60" i="11"/>
  <c r="C60" i="11"/>
  <c r="D60" i="11"/>
  <c r="E60" i="11"/>
  <c r="E61" i="11" s="1"/>
  <c r="F60" i="11"/>
  <c r="F61" i="11" s="1"/>
  <c r="G60" i="11"/>
  <c r="G61" i="11" s="1"/>
  <c r="H60" i="11"/>
  <c r="H61" i="11" s="1"/>
  <c r="I60" i="11"/>
  <c r="I61" i="11" s="1"/>
  <c r="J60" i="11"/>
  <c r="J61" i="11" s="1"/>
  <c r="K60" i="11"/>
  <c r="K61" i="11" s="1"/>
  <c r="L60" i="11"/>
  <c r="L61" i="11" s="1"/>
  <c r="M60" i="11"/>
  <c r="M61" i="11" s="1"/>
  <c r="N60" i="11"/>
  <c r="N61" i="11" s="1"/>
  <c r="O60" i="11"/>
  <c r="O61" i="11" s="1"/>
  <c r="P60" i="11"/>
  <c r="P61" i="11" s="1"/>
  <c r="Q60" i="11"/>
  <c r="Q61" i="11" s="1"/>
  <c r="R60" i="11"/>
  <c r="S60" i="11"/>
  <c r="T60" i="11"/>
  <c r="U60" i="11"/>
  <c r="U61" i="11" s="1"/>
  <c r="V60" i="11"/>
  <c r="V61" i="11" s="1"/>
  <c r="W60" i="11"/>
  <c r="W61" i="11" s="1"/>
  <c r="X60" i="11"/>
  <c r="X61" i="11" s="1"/>
  <c r="Y60" i="11"/>
  <c r="Y61" i="11" s="1"/>
  <c r="Z60" i="11"/>
  <c r="Z61" i="11" s="1"/>
  <c r="AA60" i="11"/>
  <c r="AA61" i="11" s="1"/>
  <c r="AB60" i="11"/>
  <c r="AB61" i="11" s="1"/>
  <c r="AC60" i="11"/>
  <c r="AC61" i="11" s="1"/>
  <c r="AD60" i="11"/>
  <c r="AD61" i="11" s="1"/>
  <c r="AE60" i="11"/>
  <c r="AE61" i="11" s="1"/>
  <c r="B61" i="11"/>
  <c r="C61" i="11"/>
  <c r="D61" i="11"/>
  <c r="R61" i="11"/>
  <c r="S61" i="11"/>
  <c r="T61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B59" i="11"/>
  <c r="B53" i="11"/>
  <c r="C53" i="11"/>
  <c r="D53" i="11"/>
  <c r="E53" i="11"/>
  <c r="E54" i="11" s="1"/>
  <c r="F53" i="11"/>
  <c r="F54" i="11" s="1"/>
  <c r="G53" i="11"/>
  <c r="G54" i="11" s="1"/>
  <c r="H53" i="11"/>
  <c r="I53" i="11"/>
  <c r="I54" i="11" s="1"/>
  <c r="J53" i="11"/>
  <c r="J54" i="11" s="1"/>
  <c r="K53" i="11"/>
  <c r="K54" i="11" s="1"/>
  <c r="L53" i="11"/>
  <c r="L54" i="11" s="1"/>
  <c r="M53" i="11"/>
  <c r="M54" i="11" s="1"/>
  <c r="N53" i="11"/>
  <c r="N54" i="11" s="1"/>
  <c r="O53" i="11"/>
  <c r="O54" i="11" s="1"/>
  <c r="P53" i="11"/>
  <c r="Q53" i="11"/>
  <c r="Q54" i="11" s="1"/>
  <c r="R53" i="11"/>
  <c r="S53" i="11"/>
  <c r="T53" i="11"/>
  <c r="U53" i="11"/>
  <c r="U54" i="11" s="1"/>
  <c r="V53" i="11"/>
  <c r="V54" i="11" s="1"/>
  <c r="W53" i="11"/>
  <c r="W54" i="11" s="1"/>
  <c r="X53" i="11"/>
  <c r="Y53" i="11"/>
  <c r="Y54" i="11" s="1"/>
  <c r="Z53" i="11"/>
  <c r="Z54" i="11" s="1"/>
  <c r="AA53" i="11"/>
  <c r="AA54" i="11" s="1"/>
  <c r="AB53" i="11"/>
  <c r="AB54" i="11" s="1"/>
  <c r="AC53" i="11"/>
  <c r="AC54" i="11" s="1"/>
  <c r="AD53" i="11"/>
  <c r="AD54" i="11" s="1"/>
  <c r="AE53" i="11"/>
  <c r="AE54" i="11" s="1"/>
  <c r="B54" i="11"/>
  <c r="C54" i="11"/>
  <c r="D54" i="11"/>
  <c r="H54" i="11"/>
  <c r="P54" i="11"/>
  <c r="R54" i="11"/>
  <c r="S54" i="11"/>
  <c r="T54" i="11"/>
  <c r="X54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B52" i="11"/>
  <c r="B46" i="11"/>
  <c r="C46" i="11"/>
  <c r="D46" i="11"/>
  <c r="E46" i="11"/>
  <c r="E47" i="11" s="1"/>
  <c r="F46" i="11"/>
  <c r="F47" i="11" s="1"/>
  <c r="G46" i="11"/>
  <c r="H46" i="11"/>
  <c r="I46" i="11"/>
  <c r="I47" i="11" s="1"/>
  <c r="J46" i="11"/>
  <c r="J47" i="11" s="1"/>
  <c r="K46" i="11"/>
  <c r="K47" i="11" s="1"/>
  <c r="L46" i="11"/>
  <c r="L47" i="11" s="1"/>
  <c r="M46" i="11"/>
  <c r="M47" i="11" s="1"/>
  <c r="N46" i="11"/>
  <c r="N47" i="11" s="1"/>
  <c r="O46" i="11"/>
  <c r="O47" i="11" s="1"/>
  <c r="P46" i="11"/>
  <c r="P47" i="11" s="1"/>
  <c r="Q46" i="11"/>
  <c r="Q47" i="11" s="1"/>
  <c r="R46" i="11"/>
  <c r="S46" i="11"/>
  <c r="T46" i="11"/>
  <c r="U46" i="11"/>
  <c r="U47" i="11" s="1"/>
  <c r="V46" i="11"/>
  <c r="V47" i="11" s="1"/>
  <c r="W46" i="11"/>
  <c r="X46" i="11"/>
  <c r="Y46" i="11"/>
  <c r="Y47" i="11" s="1"/>
  <c r="Z46" i="11"/>
  <c r="Z47" i="11" s="1"/>
  <c r="AA46" i="11"/>
  <c r="AA47" i="11" s="1"/>
  <c r="AB46" i="11"/>
  <c r="AB47" i="11" s="1"/>
  <c r="AC46" i="11"/>
  <c r="AC47" i="11" s="1"/>
  <c r="AD46" i="11"/>
  <c r="AD47" i="11" s="1"/>
  <c r="AE46" i="11"/>
  <c r="AE47" i="11" s="1"/>
  <c r="B47" i="11"/>
  <c r="C47" i="11"/>
  <c r="D47" i="11"/>
  <c r="G47" i="11"/>
  <c r="H47" i="11"/>
  <c r="R47" i="11"/>
  <c r="S47" i="11"/>
  <c r="T47" i="11"/>
  <c r="W47" i="11"/>
  <c r="X47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B45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B38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B31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B24" i="11"/>
</calcChain>
</file>

<file path=xl/sharedStrings.xml><?xml version="1.0" encoding="utf-8"?>
<sst xmlns="http://schemas.openxmlformats.org/spreadsheetml/2006/main" count="508" uniqueCount="87">
  <si>
    <t>No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</si>
  <si>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</si>
  <si>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</si>
  <si>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</si>
  <si>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</si>
  <si>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</si>
  <si>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</si>
  <si>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</si>
  <si>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</si>
  <si>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</si>
  <si>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</si>
  <si>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</si>
  <si>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</si>
  <si>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</si>
  <si>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</si>
  <si>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</si>
  <si>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</si>
  <si>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</si>
  <si>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</si>
  <si>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</si>
  <si>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</si>
  <si>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</si>
  <si>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</si>
  <si>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</si>
  <si>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</si>
  <si>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</si>
  <si>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</si>
  <si>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</si>
  <si>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</si>
  <si>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</si>
  <si>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</si>
  <si>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A</t>
    <phoneticPr fontId="2" type="noConversion"/>
  </si>
  <si>
    <t>B</t>
    <phoneticPr fontId="2" type="noConversion"/>
  </si>
  <si>
    <t>C</t>
    <phoneticPr fontId="2" type="noConversion"/>
  </si>
  <si>
    <t>Solver</t>
    <phoneticPr fontId="2" type="noConversion"/>
  </si>
  <si>
    <t>Row Labels</t>
  </si>
  <si>
    <t>(blank)</t>
  </si>
  <si>
    <t>Grand Total</t>
  </si>
  <si>
    <t>Column Labels</t>
  </si>
  <si>
    <t>Average of C</t>
  </si>
  <si>
    <t>LPI</t>
    <phoneticPr fontId="2" type="noConversion"/>
  </si>
  <si>
    <t>TP</t>
  </si>
  <si>
    <t>TP</t>
    <phoneticPr fontId="2" type="noConversion"/>
  </si>
  <si>
    <t>EC</t>
  </si>
  <si>
    <t>EC</t>
    <phoneticPr fontId="2" type="noConversion"/>
  </si>
  <si>
    <t>CLPI</t>
    <phoneticPr fontId="2" type="noConversion"/>
  </si>
  <si>
    <t>2022-2023</t>
    <phoneticPr fontId="2" type="noConversion"/>
  </si>
  <si>
    <t>2023-2024</t>
    <phoneticPr fontId="2" type="noConversion"/>
  </si>
  <si>
    <t>2024-2025</t>
    <phoneticPr fontId="2" type="noConversion"/>
  </si>
  <si>
    <t>Beijing</t>
    <phoneticPr fontId="2" type="noConversion"/>
  </si>
  <si>
    <t>Tianjin</t>
    <phoneticPr fontId="2" type="noConversion"/>
  </si>
  <si>
    <t>Hebei</t>
    <phoneticPr fontId="2" type="noConversion"/>
  </si>
  <si>
    <t>Shanxi</t>
    <phoneticPr fontId="2" type="noConversion"/>
  </si>
  <si>
    <t>Inner Mongolia</t>
    <phoneticPr fontId="2" type="noConversion"/>
  </si>
  <si>
    <t>Liaoning</t>
    <phoneticPr fontId="2" type="noConversion"/>
  </si>
  <si>
    <t>Jilin</t>
    <phoneticPr fontId="2" type="noConversion"/>
  </si>
  <si>
    <t>Heilongjiang</t>
    <phoneticPr fontId="2" type="noConversion"/>
  </si>
  <si>
    <t>Shanghai</t>
    <phoneticPr fontId="2" type="noConversion"/>
  </si>
  <si>
    <t>Jiangsu</t>
    <phoneticPr fontId="2" type="noConversion"/>
  </si>
  <si>
    <t>Zhejiang</t>
    <phoneticPr fontId="2" type="noConversion"/>
  </si>
  <si>
    <t>Anhui</t>
    <phoneticPr fontId="2" type="noConversion"/>
  </si>
  <si>
    <t>Fujian</t>
    <phoneticPr fontId="2" type="noConversion"/>
  </si>
  <si>
    <t>Jiangxi</t>
    <phoneticPr fontId="2" type="noConversion"/>
  </si>
  <si>
    <t>Shandong</t>
    <phoneticPr fontId="2" type="noConversion"/>
  </si>
  <si>
    <t>Henan</t>
    <phoneticPr fontId="2" type="noConversion"/>
  </si>
  <si>
    <t>Hubei</t>
    <phoneticPr fontId="2" type="noConversion"/>
  </si>
  <si>
    <t>Hunnan</t>
    <phoneticPr fontId="2" type="noConversion"/>
  </si>
  <si>
    <t>Guangdong</t>
    <phoneticPr fontId="2" type="noConversion"/>
  </si>
  <si>
    <t>Guangxi</t>
    <phoneticPr fontId="2" type="noConversion"/>
  </si>
  <si>
    <t>Hainan</t>
    <phoneticPr fontId="2" type="noConversion"/>
  </si>
  <si>
    <t>Chongqing</t>
    <phoneticPr fontId="2" type="noConversion"/>
  </si>
  <si>
    <t>Sichuan</t>
    <phoneticPr fontId="2" type="noConversion"/>
  </si>
  <si>
    <t>Guizhou</t>
    <phoneticPr fontId="2" type="noConversion"/>
  </si>
  <si>
    <t>Yunnan</t>
    <phoneticPr fontId="2" type="noConversion"/>
  </si>
  <si>
    <t>Shaanxi</t>
    <phoneticPr fontId="2" type="noConversion"/>
  </si>
  <si>
    <t>Gansu</t>
    <phoneticPr fontId="2" type="noConversion"/>
  </si>
  <si>
    <t>Qinghai</t>
    <phoneticPr fontId="2" type="noConversion"/>
  </si>
  <si>
    <t>Ningxia</t>
    <phoneticPr fontId="2" type="noConversion"/>
  </si>
  <si>
    <t>Xinjiang</t>
    <phoneticPr fontId="2" type="noConversion"/>
  </si>
  <si>
    <t>Newly Installed Capacity</t>
    <phoneticPr fontId="2" type="noConversion"/>
  </si>
  <si>
    <t>Total Accumulated Capacity of Electricity Generation Equipment</t>
    <phoneticPr fontId="2" type="noConversion"/>
  </si>
  <si>
    <t>Utilization Hours of Equipment</t>
    <phoneticPr fontId="2" type="noConversion"/>
  </si>
  <si>
    <t>Coal Consumption</t>
    <phoneticPr fontId="2" type="noConversion"/>
  </si>
  <si>
    <t>Electricity Generation</t>
    <phoneticPr fontId="2" type="noConversion"/>
  </si>
  <si>
    <t xml:space="preserve">Carbon Dioxide Emission </t>
    <phoneticPr fontId="2" type="noConversion"/>
  </si>
  <si>
    <t>Provinces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</si>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</sst>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,###,###,###,##0.00_ "/>
    <numFmt numFmtId="177" formatCode="0.00000_ "/>
    <numFmt numFmtId="178" formatCode="0_ "/>
    <numFmt numFmtId="179" formatCode="0.0000_ "/>
  </numFmts>
  <fonts count="7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10" fontId="0" fillId="0" borderId="0" xfId="2" applyNumberFormat="1" applyFont="1">
      <alignment vertical="center"/>
    </xf>
    <xf numFmtId="10" fontId="3" fillId="0" borderId="0" xfId="2" applyNumberFormat="1" applyFont="1">
      <alignment vertical="center"/>
    </xf>
    <xf numFmtId="0" fontId="0" fillId="2" borderId="0" xfId="0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0,0_x000d__x000a_NA_x000d__x000a_" xfId="1" xr:uid="{00000000-0005-0000-0000-000031000000}"/>
    <cellStyle name="Normal 2" xfId="3" xr:uid="{39B03BD2-6B29-4AB5-BEE5-223BC2332F18}"/>
    <cellStyle name="百分比" xfId="2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nguo Mu" refreshedDate="46105.898747569445" createdVersion="8" refreshedVersion="8" minRefreshableVersion="3" recordCount="121" xr:uid="{3F0E1143-10D7-4A28-9867-6A4154D4ADF3}">
  <cacheSource type="worksheet">
    <worksheetSource ref="A1:I1048576" sheet="Results"/>
  </cacheSource>
  <cacheFields count="9">
    <cacheField name="No" numFmtId="0">
      <sharedItems containsString="0" containsBlank="1" containsNumber="1" containsInteger="1" minValue="1" maxValue="30"/>
    </cacheField>
    <cacheField name="地区" numFmtId="0">
      <sharedItems containsBlank="1" count="31">
        <s v="北京"/>
        <s v="天津"/>
        <s v="河北"/>
        <s v="山西"/>
        <s v="内蒙古"/>
        <s v="辽宁"/>
        <s v="吉林"/>
        <s v="黑龙江"/>
        <s v="上海"/>
        <s v="江苏"/>
        <s v="浙江"/>
        <s v="安徽"/>
        <s v="福建"/>
        <s v="江西"/>
        <s v="山东"/>
        <s v="河南"/>
        <s v="湖北"/>
        <s v="湖南"/>
        <s v="广东"/>
        <s v="广西"/>
        <s v="海南"/>
        <s v="重庆"/>
        <s v="四川"/>
        <s v="贵州"/>
        <s v="云南"/>
        <s v="陕西"/>
        <s v="甘肃"/>
        <s v="青海"/>
        <s v="宁夏"/>
        <s v="新疆"/>
        <m/>
      </sharedItems>
    </cacheField>
    <cacheField name="年份" numFmtId="0">
      <sharedItems containsString="0" containsBlank="1" containsNumber="1" containsInteger="1" minValue="2022" maxValue="2025" count="5">
        <n v="2022"/>
        <n v="2023"/>
        <n v="2024"/>
        <n v="2025"/>
        <m/>
      </sharedItems>
    </cacheField>
    <cacheField name="A" numFmtId="10">
      <sharedItems containsString="0" containsBlank="1" containsNumber="1" minValue="-1.8381620778022598E-14" maxValue="0.70801133222444324"/>
    </cacheField>
    <cacheField name="Solver" numFmtId="0">
      <sharedItems containsString="0" containsBlank="1" containsNumber="1" containsInteger="1" minValue="0" maxValue="0"/>
    </cacheField>
    <cacheField name="B" numFmtId="10">
      <sharedItems containsString="0" containsBlank="1" containsNumber="1" minValue="-0.1731435020063595" maxValue="0.82337763409204079"/>
    </cacheField>
    <cacheField name="Solver2" numFmtId="0">
      <sharedItems containsString="0" containsBlank="1" containsNumber="1" containsInteger="1" minValue="0" maxValue="5"/>
    </cacheField>
    <cacheField name="C" numFmtId="10">
      <sharedItems containsString="0" containsBlank="1" containsNumber="1" minValue="-0.22663021742018311" maxValue="0.63070282105270092"/>
    </cacheField>
    <cacheField name="Solver3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1"/>
    <x v="0"/>
    <x v="0"/>
    <n v="0"/>
    <n v="0"/>
    <n v="0"/>
    <n v="5"/>
    <n v="0"/>
    <n v="5"/>
  </r>
  <r>
    <n v="2"/>
    <x v="1"/>
    <x v="0"/>
    <n v="0.11297180561157247"/>
    <n v="0"/>
    <n v="0.12601394086837095"/>
    <n v="0"/>
    <n v="0"/>
    <n v="5"/>
  </r>
  <r>
    <n v="3"/>
    <x v="2"/>
    <x v="0"/>
    <n v="-2.2204460492503131E-16"/>
    <n v="0"/>
    <n v="0"/>
    <n v="5"/>
    <n v="0.17924043791323002"/>
    <n v="0"/>
  </r>
  <r>
    <n v="4"/>
    <x v="3"/>
    <x v="0"/>
    <n v="0.14603711597680602"/>
    <n v="0"/>
    <n v="0"/>
    <n v="5"/>
    <n v="0"/>
    <n v="5"/>
  </r>
  <r>
    <n v="5"/>
    <x v="4"/>
    <x v="0"/>
    <n v="-1.1102230246251565E-16"/>
    <n v="0"/>
    <n v="0"/>
    <n v="5"/>
    <n v="0"/>
    <n v="5"/>
  </r>
  <r>
    <n v="6"/>
    <x v="5"/>
    <x v="0"/>
    <n v="0.24306843060022218"/>
    <n v="0"/>
    <n v="0.31140311385255787"/>
    <n v="0"/>
    <n v="0.13951821302414114"/>
    <n v="0"/>
  </r>
  <r>
    <n v="7"/>
    <x v="6"/>
    <x v="0"/>
    <n v="0.59540888146956172"/>
    <n v="0"/>
    <n v="0.53645680381600169"/>
    <n v="0"/>
    <n v="0.62179105226477271"/>
    <n v="0"/>
  </r>
  <r>
    <n v="8"/>
    <x v="7"/>
    <x v="0"/>
    <n v="0.4577733874129063"/>
    <n v="0"/>
    <n v="0.47741843537446227"/>
    <n v="0"/>
    <n v="0.24933392329057238"/>
    <n v="0"/>
  </r>
  <r>
    <n v="9"/>
    <x v="8"/>
    <x v="0"/>
    <n v="-1.8091158449765667E-14"/>
    <n v="0"/>
    <n v="0.10674032490343888"/>
    <n v="0"/>
    <n v="0"/>
    <n v="5"/>
  </r>
  <r>
    <n v="10"/>
    <x v="9"/>
    <x v="0"/>
    <n v="-1.1102230246251565E-16"/>
    <n v="0"/>
    <n v="0"/>
    <n v="5"/>
    <n v="0"/>
    <n v="5"/>
  </r>
  <r>
    <n v="11"/>
    <x v="10"/>
    <x v="0"/>
    <n v="0"/>
    <n v="0"/>
    <n v="0"/>
    <n v="5"/>
    <n v="-1.9032026137523521E-2"/>
    <n v="0"/>
  </r>
  <r>
    <n v="12"/>
    <x v="11"/>
    <x v="0"/>
    <n v="-1.1102230246251565E-16"/>
    <n v="0"/>
    <n v="0"/>
    <n v="5"/>
    <n v="-3.9909172191969385E-2"/>
    <n v="0"/>
  </r>
  <r>
    <n v="13"/>
    <x v="12"/>
    <x v="0"/>
    <n v="-2.8922912619776728E-16"/>
    <n v="0"/>
    <n v="-4.1248904390414814E-2"/>
    <n v="0"/>
    <n v="1.1431521267735709E-2"/>
    <n v="0"/>
  </r>
  <r>
    <n v="14"/>
    <x v="13"/>
    <x v="0"/>
    <n v="-1.3322676295501878E-15"/>
    <n v="0"/>
    <n v="0"/>
    <n v="5"/>
    <n v="0.23963747709229091"/>
    <n v="0"/>
  </r>
  <r>
    <n v="15"/>
    <x v="14"/>
    <x v="0"/>
    <n v="-1.1102230246251565E-16"/>
    <n v="0"/>
    <n v="0"/>
    <n v="5"/>
    <n v="4.5714374016408779E-2"/>
    <n v="0"/>
  </r>
  <r>
    <n v="16"/>
    <x v="15"/>
    <x v="0"/>
    <n v="0.26512855585112205"/>
    <n v="0"/>
    <n v="0"/>
    <n v="5"/>
    <n v="0.25250499764425505"/>
    <n v="0"/>
  </r>
  <r>
    <n v="17"/>
    <x v="16"/>
    <x v="0"/>
    <n v="0.2096356586204848"/>
    <n v="0"/>
    <n v="0"/>
    <n v="5"/>
    <n v="0.17796100792824998"/>
    <n v="0"/>
  </r>
  <r>
    <n v="18"/>
    <x v="17"/>
    <x v="0"/>
    <n v="0.2553786716762626"/>
    <n v="0"/>
    <n v="0"/>
    <n v="5"/>
    <n v="0.27379328460156266"/>
    <n v="0"/>
  </r>
  <r>
    <n v="19"/>
    <x v="18"/>
    <x v="0"/>
    <n v="-2.1094237467877974E-15"/>
    <n v="0"/>
    <n v="0"/>
    <n v="5"/>
    <n v="0"/>
    <n v="5"/>
  </r>
  <r>
    <n v="20"/>
    <x v="19"/>
    <x v="0"/>
    <n v="0.15934118727229174"/>
    <n v="0"/>
    <n v="0"/>
    <n v="5"/>
    <n v="0.13309405687959325"/>
    <n v="0"/>
  </r>
  <r>
    <n v="21"/>
    <x v="20"/>
    <x v="0"/>
    <n v="-8.8817841970012523E-16"/>
    <n v="0"/>
    <n v="0"/>
    <n v="5"/>
    <n v="0"/>
    <n v="5"/>
  </r>
  <r>
    <n v="22"/>
    <x v="21"/>
    <x v="0"/>
    <n v="-3.8709493625766434E-15"/>
    <n v="0"/>
    <n v="1.7287067600380367E-2"/>
    <n v="0"/>
    <n v="0"/>
    <n v="5"/>
  </r>
  <r>
    <n v="23"/>
    <x v="22"/>
    <x v="0"/>
    <n v="-4.4408920985006262E-16"/>
    <n v="0"/>
    <n v="0"/>
    <n v="5"/>
    <n v="0"/>
    <n v="5"/>
  </r>
  <r>
    <n v="24"/>
    <x v="23"/>
    <x v="0"/>
    <n v="0.38796089215598684"/>
    <n v="0"/>
    <n v="0.43914919587235479"/>
    <n v="0"/>
    <n v="0"/>
    <n v="5"/>
  </r>
  <r>
    <n v="25"/>
    <x v="24"/>
    <x v="0"/>
    <n v="-5.32002046500059E-15"/>
    <n v="0"/>
    <n v="0"/>
    <n v="5"/>
    <n v="-8.8521367263840398E-2"/>
    <n v="0"/>
  </r>
  <r>
    <n v="26"/>
    <x v="25"/>
    <x v="0"/>
    <n v="0.18400825027004836"/>
    <n v="0"/>
    <n v="0"/>
    <n v="5"/>
    <n v="-3.0099195609761244E-2"/>
    <n v="0"/>
  </r>
  <r>
    <n v="27"/>
    <x v="26"/>
    <x v="0"/>
    <n v="0.47419540634185109"/>
    <n v="0"/>
    <n v="0"/>
    <n v="5"/>
    <n v="0.4322892776181112"/>
    <n v="0"/>
  </r>
  <r>
    <n v="28"/>
    <x v="27"/>
    <x v="0"/>
    <n v="1.8429702208777599E-14"/>
    <n v="0"/>
    <n v="0"/>
    <n v="5"/>
    <n v="0"/>
    <n v="5"/>
  </r>
  <r>
    <n v="29"/>
    <x v="28"/>
    <x v="0"/>
    <n v="0.15107834737670534"/>
    <n v="0"/>
    <n v="0.32742623531912929"/>
    <n v="0"/>
    <n v="0"/>
    <n v="5"/>
  </r>
  <r>
    <n v="30"/>
    <x v="29"/>
    <x v="0"/>
    <n v="-6.6613381477509392E-16"/>
    <n v="0"/>
    <n v="0"/>
    <n v="5"/>
    <n v="0"/>
    <n v="5"/>
  </r>
  <r>
    <n v="1"/>
    <x v="0"/>
    <x v="1"/>
    <n v="0"/>
    <n v="0"/>
    <n v="0"/>
    <n v="5"/>
    <n v="0"/>
    <n v="5"/>
  </r>
  <r>
    <n v="2"/>
    <x v="1"/>
    <x v="1"/>
    <n v="8.7879178121185786E-2"/>
    <n v="0"/>
    <n v="0.12039288391327166"/>
    <n v="0"/>
    <n v="9.0956820909972119E-2"/>
    <n v="0"/>
  </r>
  <r>
    <n v="3"/>
    <x v="2"/>
    <x v="1"/>
    <n v="0.17610091558333055"/>
    <n v="0"/>
    <n v="0"/>
    <n v="5"/>
    <n v="0.21796054285512706"/>
    <n v="0"/>
  </r>
  <r>
    <n v="4"/>
    <x v="3"/>
    <x v="1"/>
    <n v="1.4223408609306366E-2"/>
    <n v="0"/>
    <n v="0"/>
    <n v="5"/>
    <n v="0"/>
    <n v="5"/>
  </r>
  <r>
    <n v="5"/>
    <x v="4"/>
    <x v="1"/>
    <n v="0"/>
    <n v="0"/>
    <n v="0"/>
    <n v="5"/>
    <n v="0"/>
    <n v="5"/>
  </r>
  <r>
    <n v="6"/>
    <x v="5"/>
    <x v="1"/>
    <n v="0.31373492300656991"/>
    <n v="0"/>
    <n v="0.36390491888939347"/>
    <n v="0"/>
    <n v="0.32005898837613578"/>
    <n v="0"/>
  </r>
  <r>
    <n v="7"/>
    <x v="6"/>
    <x v="1"/>
    <n v="0.26077836714355079"/>
    <n v="0"/>
    <n v="0.69193686256504228"/>
    <n v="0"/>
    <n v="0"/>
    <n v="5"/>
  </r>
  <r>
    <n v="8"/>
    <x v="7"/>
    <x v="1"/>
    <n v="0.38183638407790116"/>
    <n v="0"/>
    <n v="0.58221675387036054"/>
    <n v="0"/>
    <n v="0.37339016977589118"/>
    <n v="0"/>
  </r>
  <r>
    <n v="9"/>
    <x v="8"/>
    <x v="1"/>
    <n v="-2.2204460492503131E-15"/>
    <n v="0"/>
    <n v="0"/>
    <n v="5"/>
    <n v="0.16158954357759411"/>
    <n v="0"/>
  </r>
  <r>
    <n v="10"/>
    <x v="9"/>
    <x v="1"/>
    <n v="-2.7755575615628914E-16"/>
    <n v="0"/>
    <n v="-8.5825991525278644E-2"/>
    <n v="0"/>
    <n v="-5.020635968367762E-2"/>
    <n v="0"/>
  </r>
  <r>
    <n v="11"/>
    <x v="10"/>
    <x v="1"/>
    <n v="-1.8041124150158794E-16"/>
    <n v="0"/>
    <n v="-0.1731435020063595"/>
    <n v="0"/>
    <n v="-2.2403039229585892E-2"/>
    <n v="0"/>
  </r>
  <r>
    <n v="12"/>
    <x v="11"/>
    <x v="1"/>
    <n v="-1.3322676295501878E-15"/>
    <n v="0"/>
    <n v="4.427494716595861E-2"/>
    <n v="0"/>
    <n v="0"/>
    <n v="5"/>
  </r>
  <r>
    <n v="13"/>
    <x v="12"/>
    <x v="1"/>
    <n v="-1.6375789613221059E-15"/>
    <n v="0"/>
    <n v="-4.7933560096990659E-2"/>
    <n v="0"/>
    <n v="-6.4018496182327425E-2"/>
    <n v="0"/>
  </r>
  <r>
    <n v="14"/>
    <x v="13"/>
    <x v="1"/>
    <n v="0.15572938586108226"/>
    <n v="0"/>
    <n v="0.25815193632827699"/>
    <n v="0"/>
    <n v="0.23469108452806881"/>
    <n v="0"/>
  </r>
  <r>
    <n v="15"/>
    <x v="14"/>
    <x v="1"/>
    <n v="-2.6645352591003757E-15"/>
    <n v="0"/>
    <n v="0"/>
    <n v="5"/>
    <n v="7.9113736934776163E-2"/>
    <n v="0"/>
  </r>
  <r>
    <n v="16"/>
    <x v="15"/>
    <x v="1"/>
    <n v="0.13807294644382512"/>
    <n v="0"/>
    <n v="0.23260141500570025"/>
    <n v="0"/>
    <n v="0.17463943865427484"/>
    <n v="0"/>
  </r>
  <r>
    <n v="17"/>
    <x v="16"/>
    <x v="1"/>
    <n v="-1.1524777739677544E-15"/>
    <n v="0"/>
    <n v="0"/>
    <n v="5"/>
    <n v="0.17188215923474129"/>
    <n v="0"/>
  </r>
  <r>
    <n v="18"/>
    <x v="17"/>
    <x v="1"/>
    <n v="7.5491858409827112E-2"/>
    <n v="0"/>
    <n v="0.29713022127932454"/>
    <n v="0"/>
    <n v="0.26262496408573549"/>
    <n v="0"/>
  </r>
  <r>
    <n v="19"/>
    <x v="18"/>
    <x v="1"/>
    <n v="-1.675778254117614E-15"/>
    <n v="0"/>
    <n v="0"/>
    <n v="5"/>
    <n v="-7.2309217346852792E-2"/>
    <n v="0"/>
  </r>
  <r>
    <n v="20"/>
    <x v="19"/>
    <x v="1"/>
    <n v="9.5501403870970697E-2"/>
    <n v="0"/>
    <n v="0"/>
    <n v="5"/>
    <n v="0.10267059578060161"/>
    <n v="0"/>
  </r>
  <r>
    <n v="21"/>
    <x v="20"/>
    <x v="1"/>
    <n v="-1.1592671542722696E-15"/>
    <n v="0"/>
    <n v="9.0605691927776996E-2"/>
    <n v="0"/>
    <n v="0"/>
    <n v="5"/>
  </r>
  <r>
    <n v="22"/>
    <x v="21"/>
    <x v="1"/>
    <n v="-1.702307188683693E-14"/>
    <n v="0"/>
    <n v="0"/>
    <n v="5"/>
    <n v="0"/>
    <n v="5"/>
  </r>
  <r>
    <n v="23"/>
    <x v="22"/>
    <x v="1"/>
    <n v="-8.8817841970012523E-16"/>
    <n v="0"/>
    <n v="0"/>
    <n v="5"/>
    <n v="0"/>
    <n v="5"/>
  </r>
  <r>
    <n v="24"/>
    <x v="23"/>
    <x v="1"/>
    <n v="2.6090348757529796E-15"/>
    <n v="0"/>
    <n v="0.40020520089159661"/>
    <n v="0"/>
    <n v="0"/>
    <n v="5"/>
  </r>
  <r>
    <n v="25"/>
    <x v="24"/>
    <x v="1"/>
    <n v="-2.2204460492503131E-16"/>
    <n v="0"/>
    <n v="0"/>
    <n v="5"/>
    <n v="-6.030808626725398E-2"/>
    <n v="0"/>
  </r>
  <r>
    <n v="26"/>
    <x v="25"/>
    <x v="1"/>
    <n v="0.24267505258960695"/>
    <n v="0"/>
    <n v="0.23158832413353397"/>
    <n v="0"/>
    <n v="0.27005630363121363"/>
    <n v="0"/>
  </r>
  <r>
    <n v="27"/>
    <x v="26"/>
    <x v="1"/>
    <n v="-1.4432899320127035E-15"/>
    <n v="0"/>
    <n v="0"/>
    <n v="5"/>
    <n v="0"/>
    <n v="5"/>
  </r>
  <r>
    <n v="28"/>
    <x v="27"/>
    <x v="1"/>
    <n v="-6.3282712403633923E-15"/>
    <n v="0"/>
    <n v="0"/>
    <n v="5"/>
    <n v="0"/>
    <n v="5"/>
  </r>
  <r>
    <n v="29"/>
    <x v="28"/>
    <x v="1"/>
    <n v="0.30025307387703726"/>
    <n v="0"/>
    <n v="0.19993960337175842"/>
    <n v="0"/>
    <n v="0.27597805213467458"/>
    <n v="0"/>
  </r>
  <r>
    <n v="30"/>
    <x v="29"/>
    <x v="1"/>
    <n v="5.4887152225051121E-16"/>
    <n v="0"/>
    <n v="0"/>
    <n v="5"/>
    <n v="0"/>
    <n v="5"/>
  </r>
  <r>
    <n v="1"/>
    <x v="0"/>
    <x v="2"/>
    <n v="0"/>
    <n v="0"/>
    <n v="0"/>
    <n v="5"/>
    <n v="0"/>
    <n v="5"/>
  </r>
  <r>
    <n v="2"/>
    <x v="1"/>
    <x v="2"/>
    <n v="0.1060217200717288"/>
    <n v="0"/>
    <n v="0.35990661732886381"/>
    <n v="0"/>
    <n v="7.3354520072226773E-2"/>
    <n v="0"/>
  </r>
  <r>
    <n v="3"/>
    <x v="2"/>
    <x v="2"/>
    <n v="0"/>
    <n v="0"/>
    <n v="0"/>
    <n v="5"/>
    <n v="0.20183443992549255"/>
    <n v="0"/>
  </r>
  <r>
    <n v="4"/>
    <x v="3"/>
    <x v="2"/>
    <n v="0"/>
    <n v="0"/>
    <n v="0.2640771397298099"/>
    <n v="0"/>
    <n v="0"/>
    <n v="5"/>
  </r>
  <r>
    <n v="5"/>
    <x v="4"/>
    <x v="2"/>
    <n v="0"/>
    <n v="0"/>
    <n v="0"/>
    <n v="5"/>
    <n v="0"/>
    <n v="5"/>
  </r>
  <r>
    <n v="6"/>
    <x v="5"/>
    <x v="2"/>
    <n v="0.38786903209976203"/>
    <n v="0"/>
    <n v="0.41570446443247067"/>
    <n v="0"/>
    <n v="0.34355272738294534"/>
    <n v="0"/>
  </r>
  <r>
    <n v="7"/>
    <x v="6"/>
    <x v="2"/>
    <n v="0.69595669829243423"/>
    <n v="0"/>
    <n v="0.82337763409204079"/>
    <n v="0"/>
    <n v="0.60528001597430847"/>
    <n v="0"/>
  </r>
  <r>
    <n v="8"/>
    <x v="7"/>
    <x v="2"/>
    <n v="0.60908851331734692"/>
    <n v="0"/>
    <n v="0.61986798476248384"/>
    <n v="0"/>
    <n v="0.38643601160892821"/>
    <n v="0"/>
  </r>
  <r>
    <n v="9"/>
    <x v="8"/>
    <x v="2"/>
    <n v="-1.5543122344752192E-15"/>
    <n v="0"/>
    <n v="9.302065992135515E-2"/>
    <n v="0"/>
    <n v="0"/>
    <n v="5"/>
  </r>
  <r>
    <n v="10"/>
    <x v="9"/>
    <x v="2"/>
    <n v="-3.0531133177191805E-16"/>
    <n v="0"/>
    <n v="0"/>
    <n v="5"/>
    <n v="-0.18044952978696818"/>
    <n v="0"/>
  </r>
  <r>
    <n v="11"/>
    <x v="10"/>
    <x v="2"/>
    <n v="-1.8819829562864599E-15"/>
    <n v="0"/>
    <n v="0"/>
    <n v="5"/>
    <n v="-0.1034940689822188"/>
    <n v="0"/>
  </r>
  <r>
    <n v="12"/>
    <x v="11"/>
    <x v="2"/>
    <n v="-1.6653345369377348E-15"/>
    <n v="0"/>
    <n v="0"/>
    <n v="5"/>
    <n v="0"/>
    <n v="5"/>
  </r>
  <r>
    <n v="13"/>
    <x v="12"/>
    <x v="2"/>
    <n v="-1.3877787807814457E-15"/>
    <n v="0"/>
    <n v="-1.3840176127416365E-2"/>
    <n v="0"/>
    <n v="-0.22663021742018311"/>
    <n v="0"/>
  </r>
  <r>
    <n v="14"/>
    <x v="13"/>
    <x v="2"/>
    <n v="0.35010390411574144"/>
    <n v="0"/>
    <n v="0.41655712930712435"/>
    <n v="0"/>
    <n v="0.36787379963179667"/>
    <n v="0"/>
  </r>
  <r>
    <n v="15"/>
    <x v="14"/>
    <x v="2"/>
    <n v="-2.55351295663786E-15"/>
    <n v="0"/>
    <n v="0"/>
    <n v="5"/>
    <n v="-2.588178110755017E-2"/>
    <n v="0"/>
  </r>
  <r>
    <n v="16"/>
    <x v="15"/>
    <x v="2"/>
    <n v="0.1310700283954811"/>
    <n v="0"/>
    <n v="0.30549371739320857"/>
    <n v="0"/>
    <n v="0"/>
    <n v="5"/>
  </r>
  <r>
    <n v="17"/>
    <x v="16"/>
    <x v="2"/>
    <n v="0.25395246700172863"/>
    <n v="0"/>
    <n v="0.22286091328133786"/>
    <n v="0"/>
    <n v="0.22242011144201862"/>
    <n v="0"/>
  </r>
  <r>
    <n v="18"/>
    <x v="17"/>
    <x v="2"/>
    <n v="0.29540043134538618"/>
    <n v="0"/>
    <n v="0.30055946758839719"/>
    <n v="0"/>
    <n v="0.30569753988628845"/>
    <n v="0"/>
  </r>
  <r>
    <n v="19"/>
    <x v="18"/>
    <x v="2"/>
    <n v="-2.5335508314085255E-15"/>
    <n v="0"/>
    <n v="0"/>
    <n v="5"/>
    <n v="-5.3806578633169649E-2"/>
    <n v="0"/>
  </r>
  <r>
    <n v="20"/>
    <x v="19"/>
    <x v="2"/>
    <n v="-2.8247732220393496E-15"/>
    <n v="0"/>
    <n v="0"/>
    <n v="5"/>
    <n v="-3.3624750364073384E-2"/>
    <n v="0"/>
  </r>
  <r>
    <n v="21"/>
    <x v="20"/>
    <x v="2"/>
    <n v="-4.9960036108132044E-15"/>
    <n v="0"/>
    <n v="0"/>
    <n v="5"/>
    <n v="0"/>
    <n v="5"/>
  </r>
  <r>
    <n v="22"/>
    <x v="21"/>
    <x v="2"/>
    <n v="-4.1992930259546652E-15"/>
    <n v="0"/>
    <n v="0"/>
    <n v="5"/>
    <n v="0"/>
    <n v="5"/>
  </r>
  <r>
    <n v="23"/>
    <x v="22"/>
    <x v="2"/>
    <n v="-1.9984014443252818E-15"/>
    <n v="0"/>
    <n v="0"/>
    <n v="5"/>
    <n v="0"/>
    <n v="5"/>
  </r>
  <r>
    <n v="24"/>
    <x v="23"/>
    <x v="2"/>
    <n v="0.28518320670567765"/>
    <n v="0"/>
    <n v="0.50451203761300234"/>
    <n v="0"/>
    <n v="0"/>
    <n v="5"/>
  </r>
  <r>
    <n v="25"/>
    <x v="24"/>
    <x v="2"/>
    <n v="-5.773159728050814E-15"/>
    <n v="0"/>
    <n v="0"/>
    <n v="5"/>
    <n v="1.8624042573038306E-3"/>
    <n v="0"/>
  </r>
  <r>
    <n v="26"/>
    <x v="25"/>
    <x v="2"/>
    <n v="0.34253595597877795"/>
    <n v="0"/>
    <n v="0.2981407091096181"/>
    <n v="0"/>
    <n v="0.28548259390823044"/>
    <n v="0"/>
  </r>
  <r>
    <n v="27"/>
    <x v="26"/>
    <x v="2"/>
    <n v="0.70801133222444324"/>
    <n v="0"/>
    <n v="0"/>
    <n v="5"/>
    <n v="0.63070282105270092"/>
    <n v="0"/>
  </r>
  <r>
    <n v="28"/>
    <x v="27"/>
    <x v="2"/>
    <n v="5.6732396558345499E-14"/>
    <n v="0"/>
    <n v="0"/>
    <n v="5"/>
    <n v="0"/>
    <n v="5"/>
  </r>
  <r>
    <n v="29"/>
    <x v="28"/>
    <x v="2"/>
    <n v="-1.6539049839768332E-15"/>
    <n v="0"/>
    <n v="0"/>
    <n v="5"/>
    <n v="0"/>
    <n v="5"/>
  </r>
  <r>
    <n v="30"/>
    <x v="29"/>
    <x v="2"/>
    <n v="-1.4432899320127035E-15"/>
    <n v="0"/>
    <n v="0"/>
    <n v="5"/>
    <n v="0.13971118999986473"/>
    <n v="0"/>
  </r>
  <r>
    <n v="1"/>
    <x v="0"/>
    <x v="3"/>
    <n v="-2.2204460492503131E-16"/>
    <n v="0"/>
    <m/>
    <m/>
    <m/>
    <m/>
  </r>
  <r>
    <n v="2"/>
    <x v="1"/>
    <x v="3"/>
    <n v="0.41998529132600398"/>
    <n v="0"/>
    <m/>
    <m/>
    <m/>
    <m/>
  </r>
  <r>
    <n v="3"/>
    <x v="2"/>
    <x v="3"/>
    <n v="0.15665850237730028"/>
    <n v="0"/>
    <m/>
    <m/>
    <m/>
    <m/>
  </r>
  <r>
    <n v="4"/>
    <x v="3"/>
    <x v="3"/>
    <n v="0.16906450833420203"/>
    <n v="0"/>
    <m/>
    <m/>
    <m/>
    <m/>
  </r>
  <r>
    <n v="5"/>
    <x v="4"/>
    <x v="3"/>
    <n v="-2.2204460492503131E-16"/>
    <n v="0"/>
    <m/>
    <m/>
    <m/>
    <m/>
  </r>
  <r>
    <n v="6"/>
    <x v="5"/>
    <x v="3"/>
    <n v="0.34882503679690485"/>
    <n v="0"/>
    <m/>
    <m/>
    <m/>
    <m/>
  </r>
  <r>
    <n v="7"/>
    <x v="6"/>
    <x v="3"/>
    <n v="1.0645683897285373E-14"/>
    <n v="0"/>
    <m/>
    <m/>
    <m/>
    <m/>
  </r>
  <r>
    <n v="8"/>
    <x v="7"/>
    <x v="3"/>
    <n v="0.53612599664147198"/>
    <n v="0"/>
    <m/>
    <m/>
    <m/>
    <m/>
  </r>
  <r>
    <n v="9"/>
    <x v="8"/>
    <x v="3"/>
    <n v="-1.7565412461596677E-14"/>
    <n v="0"/>
    <m/>
    <m/>
    <m/>
    <m/>
  </r>
  <r>
    <n v="10"/>
    <x v="9"/>
    <x v="3"/>
    <n v="-3.3306690738754696E-15"/>
    <n v="0"/>
    <m/>
    <m/>
    <m/>
    <m/>
  </r>
  <r>
    <n v="11"/>
    <x v="10"/>
    <x v="3"/>
    <n v="-3.2388373410491164E-15"/>
    <n v="0"/>
    <m/>
    <m/>
    <m/>
    <m/>
  </r>
  <r>
    <n v="12"/>
    <x v="11"/>
    <x v="3"/>
    <n v="-2.5838041969003394E-15"/>
    <n v="0"/>
    <m/>
    <m/>
    <m/>
    <m/>
  </r>
  <r>
    <n v="13"/>
    <x v="12"/>
    <x v="3"/>
    <n v="-1.0547118733938987E-15"/>
    <n v="0"/>
    <m/>
    <m/>
    <m/>
    <m/>
  </r>
  <r>
    <n v="14"/>
    <x v="13"/>
    <x v="3"/>
    <n v="0.43220184610964396"/>
    <n v="0"/>
    <m/>
    <m/>
    <m/>
    <m/>
  </r>
  <r>
    <n v="15"/>
    <x v="14"/>
    <x v="3"/>
    <n v="3.7344992809888768E-2"/>
    <n v="0"/>
    <m/>
    <m/>
    <m/>
    <m/>
  </r>
  <r>
    <n v="16"/>
    <x v="15"/>
    <x v="3"/>
    <n v="0.21727375636115162"/>
    <n v="0"/>
    <m/>
    <m/>
    <m/>
    <m/>
  </r>
  <r>
    <n v="17"/>
    <x v="16"/>
    <x v="3"/>
    <n v="0.2297376389082495"/>
    <n v="0"/>
    <m/>
    <m/>
    <m/>
    <m/>
  </r>
  <r>
    <n v="18"/>
    <x v="17"/>
    <x v="3"/>
    <n v="0.30739236264203013"/>
    <n v="0"/>
    <m/>
    <m/>
    <m/>
    <m/>
  </r>
  <r>
    <n v="19"/>
    <x v="18"/>
    <x v="3"/>
    <n v="-3.2136382897866461E-16"/>
    <n v="0"/>
    <m/>
    <m/>
    <m/>
    <m/>
  </r>
  <r>
    <n v="20"/>
    <x v="19"/>
    <x v="3"/>
    <n v="-2.1094237467877974E-15"/>
    <n v="0"/>
    <m/>
    <m/>
    <m/>
    <m/>
  </r>
  <r>
    <n v="21"/>
    <x v="20"/>
    <x v="3"/>
    <n v="6.5503158452884236E-15"/>
    <n v="0"/>
    <m/>
    <m/>
    <m/>
    <m/>
  </r>
  <r>
    <n v="22"/>
    <x v="21"/>
    <x v="3"/>
    <n v="-7.3190297622250029E-17"/>
    <n v="0"/>
    <m/>
    <m/>
    <m/>
    <m/>
  </r>
  <r>
    <n v="23"/>
    <x v="22"/>
    <x v="3"/>
    <n v="-5.790288384185449E-15"/>
    <n v="0"/>
    <m/>
    <m/>
    <m/>
    <m/>
  </r>
  <r>
    <n v="24"/>
    <x v="23"/>
    <x v="3"/>
    <n v="0.42700499523842356"/>
    <n v="0"/>
    <m/>
    <m/>
    <m/>
    <m/>
  </r>
  <r>
    <n v="25"/>
    <x v="24"/>
    <x v="3"/>
    <n v="-1.0881813411926548E-14"/>
    <n v="0"/>
    <m/>
    <m/>
    <m/>
    <m/>
  </r>
  <r>
    <n v="26"/>
    <x v="25"/>
    <x v="3"/>
    <n v="0.13619274881923882"/>
    <n v="0"/>
    <m/>
    <m/>
    <m/>
    <m/>
  </r>
  <r>
    <n v="27"/>
    <x v="26"/>
    <x v="3"/>
    <n v="0.4023292965675081"/>
    <n v="0"/>
    <m/>
    <m/>
    <m/>
    <m/>
  </r>
  <r>
    <n v="28"/>
    <x v="27"/>
    <x v="3"/>
    <n v="-1.8381620778022598E-14"/>
    <n v="0"/>
    <m/>
    <m/>
    <m/>
    <m/>
  </r>
  <r>
    <n v="29"/>
    <x v="28"/>
    <x v="3"/>
    <n v="0.46376305667207957"/>
    <n v="0"/>
    <m/>
    <m/>
    <m/>
    <m/>
  </r>
  <r>
    <n v="30"/>
    <x v="29"/>
    <x v="3"/>
    <n v="-1.8708974470777095E-15"/>
    <n v="0"/>
    <m/>
    <m/>
    <m/>
    <m/>
  </r>
  <r>
    <m/>
    <x v="30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66C1E-DD0F-44DD-86FE-AC886A3E79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AS8" firstHeaderRow="1" firstDataRow="2" firstDataCol="1"/>
  <pivotFields count="9">
    <pivotField showAll="0"/>
    <pivotField axis="axisCol" showAll="0">
      <items count="32">
        <item x="11"/>
        <item x="0"/>
        <item x="12"/>
        <item x="26"/>
        <item x="18"/>
        <item x="19"/>
        <item x="23"/>
        <item x="20"/>
        <item x="2"/>
        <item x="15"/>
        <item x="7"/>
        <item x="16"/>
        <item x="17"/>
        <item x="6"/>
        <item x="9"/>
        <item x="13"/>
        <item x="5"/>
        <item x="4"/>
        <item x="28"/>
        <item x="27"/>
        <item x="14"/>
        <item x="3"/>
        <item x="25"/>
        <item x="8"/>
        <item x="22"/>
        <item x="1"/>
        <item x="29"/>
        <item x="24"/>
        <item x="10"/>
        <item x="21"/>
        <item x="3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Average of C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"/>
  <sheetViews>
    <sheetView zoomScale="115" zoomScaleNormal="115" workbookViewId="0">
      <pane xSplit="2" ySplit="1" topLeftCell="C89" activePane="bottomRight" state="frozen"/>
      <selection activeCell="F51" sqref="F51"/>
      <selection pane="topRight" activeCell="F51" sqref="F51"/>
      <selection pane="bottomLeft" activeCell="F51" sqref="F51"/>
      <selection pane="bottomRight" activeCell="A2" sqref="A2:A121"/>
    </sheetView>
  </sheetViews>
  <sheetFormatPr defaultColWidth="9" defaultRowHeight="14.4" x14ac:dyDescent="0.25"/>
  <cols>
    <col min="3" max="3" width="12.77734375" customWidth="1"/>
    <col min="4" max="4" width="12.21875" customWidth="1"/>
    <col min="5" max="5" width="10.77734375" customWidth="1"/>
    <col min="6" max="6" width="12.21875" customWidth="1"/>
    <col min="7" max="8" width="18" customWidth="1"/>
  </cols>
  <sheetData>
    <row r="1" spans="1:8" ht="82.8" x14ac:dyDescent="0.25">
      <c r="A1" s="14"/>
      <c r="B1" s="14"/>
      <c r="C1" s="15" t="s">
        <v>79</v>
      </c>
      <c r="D1" s="15" t="s">
        <v>80</v>
      </c>
      <c r="E1" s="15" t="s">
        <v>81</v>
      </c>
      <c r="F1" s="15" t="s">
        <v>82</v>
      </c>
      <c r="G1" s="15" t="s">
        <v>83</v>
      </c>
      <c r="H1" s="15" t="s">
        <v>84</v>
      </c>
    </row>
    <row r="2" spans="1:8" x14ac:dyDescent="0.25">
      <c r="A2" s="17" t="s">
        <v>49</v>
      </c>
      <c r="B2" s="14">
        <v>2022</v>
      </c>
      <c r="C2" s="16">
        <v>19</v>
      </c>
      <c r="D2" s="16">
        <v>1269</v>
      </c>
      <c r="E2" s="16">
        <v>3167</v>
      </c>
      <c r="F2" s="16">
        <v>17.4117</v>
      </c>
      <c r="G2" s="16">
        <v>3951000</v>
      </c>
      <c r="H2" s="16">
        <v>33.085712340000001</v>
      </c>
    </row>
    <row r="3" spans="1:8" x14ac:dyDescent="0.25">
      <c r="A3" s="17"/>
      <c r="B3" s="14">
        <v>2023</v>
      </c>
      <c r="C3" s="16">
        <v>12.247199999999999</v>
      </c>
      <c r="D3" s="16">
        <v>1272.1510000000001</v>
      </c>
      <c r="E3" s="16">
        <v>3187</v>
      </c>
      <c r="F3" s="16">
        <v>12</v>
      </c>
      <c r="G3" s="16">
        <v>4007000</v>
      </c>
      <c r="H3" s="16">
        <v>22.802399999999999</v>
      </c>
    </row>
    <row r="4" spans="1:8" x14ac:dyDescent="0.25">
      <c r="A4" s="17"/>
      <c r="B4" s="14">
        <v>2024</v>
      </c>
      <c r="C4" s="16">
        <v>28</v>
      </c>
      <c r="D4" s="16">
        <v>1288</v>
      </c>
      <c r="E4" s="16">
        <v>3026.3410880000001</v>
      </c>
      <c r="F4" s="16">
        <v>3.8329529999999998</v>
      </c>
      <c r="G4" s="16">
        <v>3821000</v>
      </c>
      <c r="H4" s="16">
        <v>7.2833772905999989</v>
      </c>
    </row>
    <row r="5" spans="1:8" x14ac:dyDescent="0.25">
      <c r="A5" s="17"/>
      <c r="B5" s="14">
        <v>2025</v>
      </c>
      <c r="C5" s="16">
        <v>71.328100000000006</v>
      </c>
      <c r="D5" s="16">
        <v>1302.3237509999999</v>
      </c>
      <c r="E5" s="16">
        <v>3077.94</v>
      </c>
      <c r="F5" s="16">
        <v>2.5636260000000002</v>
      </c>
      <c r="G5" s="16">
        <v>3825000</v>
      </c>
      <c r="H5" s="16">
        <v>4.8714021252000004</v>
      </c>
    </row>
    <row r="6" spans="1:8" x14ac:dyDescent="0.25">
      <c r="A6" s="17" t="s">
        <v>50</v>
      </c>
      <c r="B6" s="14">
        <v>2022</v>
      </c>
      <c r="C6" s="16">
        <v>93</v>
      </c>
      <c r="D6" s="16">
        <v>2119</v>
      </c>
      <c r="E6" s="16">
        <v>3099.59</v>
      </c>
      <c r="F6" s="16">
        <v>1952.9093270000001</v>
      </c>
      <c r="G6" s="16">
        <v>6689000</v>
      </c>
      <c r="H6" s="16">
        <v>3710.9183031653997</v>
      </c>
    </row>
    <row r="7" spans="1:8" x14ac:dyDescent="0.25">
      <c r="A7" s="17"/>
      <c r="B7" s="14">
        <v>2023</v>
      </c>
      <c r="C7" s="16">
        <v>245.3278</v>
      </c>
      <c r="D7" s="16">
        <v>2316.2374669999999</v>
      </c>
      <c r="E7" s="16">
        <v>3168</v>
      </c>
      <c r="F7" s="16">
        <v>2067</v>
      </c>
      <c r="G7" s="16">
        <v>7290000</v>
      </c>
      <c r="H7" s="16">
        <v>3927.7133999999996</v>
      </c>
    </row>
    <row r="8" spans="1:8" x14ac:dyDescent="0.25">
      <c r="A8" s="17"/>
      <c r="B8" s="14">
        <v>2024</v>
      </c>
      <c r="C8" s="16">
        <v>284</v>
      </c>
      <c r="D8" s="16">
        <v>2424</v>
      </c>
      <c r="E8" s="16">
        <v>3011.3940229999998</v>
      </c>
      <c r="F8" s="16">
        <v>1923.37717</v>
      </c>
      <c r="G8" s="16">
        <v>7538000</v>
      </c>
      <c r="H8" s="16">
        <v>3654.8012984339998</v>
      </c>
    </row>
    <row r="9" spans="1:8" x14ac:dyDescent="0.25">
      <c r="A9" s="17"/>
      <c r="B9" s="14">
        <v>2025</v>
      </c>
      <c r="C9" s="16">
        <v>407.75040000000001</v>
      </c>
      <c r="D9" s="16">
        <v>2855.2132019999999</v>
      </c>
      <c r="E9" s="16">
        <v>2485.1755720000001</v>
      </c>
      <c r="F9" s="16">
        <v>1568.903239</v>
      </c>
      <c r="G9" s="16">
        <v>6901000</v>
      </c>
      <c r="H9" s="16">
        <v>2981.2299347477997</v>
      </c>
    </row>
    <row r="10" spans="1:8" x14ac:dyDescent="0.25">
      <c r="A10" s="17" t="s">
        <v>51</v>
      </c>
      <c r="B10" s="14">
        <v>2022</v>
      </c>
      <c r="C10" s="16">
        <v>1200</v>
      </c>
      <c r="D10" s="16">
        <v>10437</v>
      </c>
      <c r="E10" s="16">
        <v>2792.1210970000002</v>
      </c>
      <c r="F10" s="16">
        <v>8168.3408659999996</v>
      </c>
      <c r="G10" s="16">
        <v>31183000</v>
      </c>
      <c r="H10" s="16">
        <v>15521.481313573198</v>
      </c>
    </row>
    <row r="11" spans="1:8" x14ac:dyDescent="0.25">
      <c r="A11" s="17"/>
      <c r="B11" s="14">
        <v>2023</v>
      </c>
      <c r="C11" s="16">
        <v>1345.4999</v>
      </c>
      <c r="D11" s="16">
        <v>11557.728529</v>
      </c>
      <c r="E11" s="16">
        <v>2782</v>
      </c>
      <c r="F11" s="16">
        <v>8727</v>
      </c>
      <c r="G11" s="16">
        <v>33805000</v>
      </c>
      <c r="H11" s="16">
        <v>16583.045399999999</v>
      </c>
    </row>
    <row r="12" spans="1:8" x14ac:dyDescent="0.25">
      <c r="A12" s="17"/>
      <c r="B12" s="14">
        <v>2024</v>
      </c>
      <c r="C12" s="16">
        <v>1578</v>
      </c>
      <c r="D12" s="16">
        <v>13381</v>
      </c>
      <c r="E12" s="16">
        <v>2530.6948819999998</v>
      </c>
      <c r="F12" s="16">
        <v>9323.7653019999998</v>
      </c>
      <c r="G12" s="16">
        <v>35178000</v>
      </c>
      <c r="H12" s="16">
        <v>17717.0188268604</v>
      </c>
    </row>
    <row r="13" spans="1:8" x14ac:dyDescent="0.25">
      <c r="A13" s="17"/>
      <c r="B13" s="14">
        <v>2025</v>
      </c>
      <c r="C13" s="16">
        <v>1941.5487000000001</v>
      </c>
      <c r="D13" s="16">
        <v>15500.82127</v>
      </c>
      <c r="E13" s="16">
        <v>2285.0133310000001</v>
      </c>
      <c r="F13" s="16">
        <v>8560.4125339999991</v>
      </c>
      <c r="G13" s="16">
        <v>37229000</v>
      </c>
      <c r="H13" s="16">
        <v>16266.495897106797</v>
      </c>
    </row>
    <row r="14" spans="1:8" x14ac:dyDescent="0.25">
      <c r="A14" s="17" t="s">
        <v>52</v>
      </c>
      <c r="B14" s="14">
        <v>2022</v>
      </c>
      <c r="C14" s="16">
        <v>632</v>
      </c>
      <c r="D14" s="16">
        <v>11566</v>
      </c>
      <c r="E14" s="16">
        <v>3260</v>
      </c>
      <c r="F14" s="16">
        <v>15940.0805</v>
      </c>
      <c r="G14" s="16">
        <v>37365000</v>
      </c>
      <c r="H14" s="16">
        <v>30289.340966099997</v>
      </c>
    </row>
    <row r="15" spans="1:8" x14ac:dyDescent="0.25">
      <c r="A15" s="17"/>
      <c r="B15" s="14">
        <v>2023</v>
      </c>
      <c r="C15" s="16">
        <v>1015.179</v>
      </c>
      <c r="D15" s="16">
        <v>12361.083968999999</v>
      </c>
      <c r="E15" s="16">
        <v>3313</v>
      </c>
      <c r="F15" s="16">
        <v>16430</v>
      </c>
      <c r="G15" s="16">
        <v>39309000</v>
      </c>
      <c r="H15" s="16">
        <v>31220.285999999996</v>
      </c>
    </row>
    <row r="16" spans="1:8" x14ac:dyDescent="0.25">
      <c r="A16" s="17"/>
      <c r="B16" s="14">
        <v>2024</v>
      </c>
      <c r="C16" s="16">
        <v>988</v>
      </c>
      <c r="D16" s="16">
        <v>13280</v>
      </c>
      <c r="E16" s="16">
        <v>3080.8684560000002</v>
      </c>
      <c r="F16" s="16">
        <v>16199.739775</v>
      </c>
      <c r="G16" s="16">
        <v>39542000</v>
      </c>
      <c r="H16" s="16">
        <v>30782.745520454999</v>
      </c>
    </row>
    <row r="17" spans="1:8" x14ac:dyDescent="0.25">
      <c r="A17" s="17"/>
      <c r="B17" s="14">
        <v>2025</v>
      </c>
      <c r="C17" s="16">
        <v>1646.0904</v>
      </c>
      <c r="D17" s="16">
        <v>14989.617182</v>
      </c>
      <c r="E17" s="16">
        <v>2836.5563229999998</v>
      </c>
      <c r="F17" s="16">
        <v>15318.178680000001</v>
      </c>
      <c r="G17" s="16">
        <v>39855000</v>
      </c>
      <c r="H17" s="16">
        <v>29107.603127736002</v>
      </c>
    </row>
    <row r="18" spans="1:8" x14ac:dyDescent="0.25">
      <c r="A18" s="17" t="s">
        <v>53</v>
      </c>
      <c r="B18" s="14">
        <v>2022</v>
      </c>
      <c r="C18" s="16">
        <v>505</v>
      </c>
      <c r="D18" s="16">
        <v>15898</v>
      </c>
      <c r="E18" s="16">
        <v>3733.5432999999998</v>
      </c>
      <c r="F18" s="16">
        <v>26367.691599999998</v>
      </c>
      <c r="G18" s="16">
        <v>58318000</v>
      </c>
      <c r="H18" s="16">
        <v>50103.887578319991</v>
      </c>
    </row>
    <row r="19" spans="1:8" x14ac:dyDescent="0.25">
      <c r="A19" s="17"/>
      <c r="B19" s="14">
        <v>2023</v>
      </c>
      <c r="C19" s="16">
        <v>1927.2710999999999</v>
      </c>
      <c r="D19" s="16">
        <v>20028.845700000002</v>
      </c>
      <c r="E19" s="16">
        <v>3529</v>
      </c>
      <c r="F19" s="16">
        <v>29358</v>
      </c>
      <c r="G19" s="16">
        <v>67311000</v>
      </c>
      <c r="H19" s="16">
        <v>55786.071599999996</v>
      </c>
    </row>
    <row r="20" spans="1:8" x14ac:dyDescent="0.25">
      <c r="A20" s="17"/>
      <c r="B20" s="14">
        <v>2024</v>
      </c>
      <c r="C20" s="16">
        <v>2248</v>
      </c>
      <c r="D20" s="16">
        <v>23337</v>
      </c>
      <c r="E20" s="16">
        <v>3369.3617199999999</v>
      </c>
      <c r="F20" s="16">
        <v>32227.190699999999</v>
      </c>
      <c r="G20" s="16">
        <v>73739000</v>
      </c>
      <c r="H20" s="16">
        <v>61238.107768139998</v>
      </c>
    </row>
    <row r="21" spans="1:8" x14ac:dyDescent="0.25">
      <c r="A21" s="17"/>
      <c r="B21" s="14">
        <v>2025</v>
      </c>
      <c r="C21" s="16">
        <v>2176.7494000000002</v>
      </c>
      <c r="D21" s="16">
        <v>27557.480599999999</v>
      </c>
      <c r="E21" s="16">
        <v>2932.9525829999998</v>
      </c>
      <c r="F21" s="16">
        <v>29982.884836000001</v>
      </c>
      <c r="G21" s="16">
        <v>77037000</v>
      </c>
      <c r="H21" s="16">
        <v>56973.477765367199</v>
      </c>
    </row>
    <row r="22" spans="1:8" x14ac:dyDescent="0.25">
      <c r="A22" s="17" t="s">
        <v>54</v>
      </c>
      <c r="B22" s="14">
        <v>2022</v>
      </c>
      <c r="C22" s="16">
        <v>358</v>
      </c>
      <c r="D22" s="16">
        <v>6279</v>
      </c>
      <c r="E22" s="16">
        <v>3113.02</v>
      </c>
      <c r="F22" s="16">
        <v>5416.4240689999997</v>
      </c>
      <c r="G22" s="16">
        <v>19192000</v>
      </c>
      <c r="H22" s="16">
        <v>10292.289015913799</v>
      </c>
    </row>
    <row r="23" spans="1:8" x14ac:dyDescent="0.25">
      <c r="A23" s="17"/>
      <c r="B23" s="14">
        <v>2023</v>
      </c>
      <c r="C23" s="16">
        <v>569.93039999999996</v>
      </c>
      <c r="D23" s="16">
        <v>6767.7006000000001</v>
      </c>
      <c r="E23" s="16">
        <v>3013</v>
      </c>
      <c r="F23" s="16">
        <v>5203</v>
      </c>
      <c r="G23" s="16">
        <v>19794000</v>
      </c>
      <c r="H23" s="16">
        <v>9886.7405999999992</v>
      </c>
    </row>
    <row r="24" spans="1:8" x14ac:dyDescent="0.25">
      <c r="A24" s="17"/>
      <c r="B24" s="14">
        <v>2024</v>
      </c>
      <c r="C24" s="16">
        <v>685</v>
      </c>
      <c r="D24" s="16">
        <v>7305</v>
      </c>
      <c r="E24" s="16">
        <v>2846.864857</v>
      </c>
      <c r="F24" s="16">
        <v>4888.9069989999998</v>
      </c>
      <c r="G24" s="16">
        <v>19911000</v>
      </c>
      <c r="H24" s="16">
        <v>9289.9010794997994</v>
      </c>
    </row>
    <row r="25" spans="1:8" x14ac:dyDescent="0.25">
      <c r="A25" s="17"/>
      <c r="B25" s="14">
        <v>2025</v>
      </c>
      <c r="C25" s="16">
        <v>779.83640000000003</v>
      </c>
      <c r="D25" s="16">
        <v>8165.9413000000004</v>
      </c>
      <c r="E25" s="16">
        <v>2738.6175290000001</v>
      </c>
      <c r="F25" s="16">
        <v>5061.5956569999998</v>
      </c>
      <c r="G25" s="16">
        <v>21325000</v>
      </c>
      <c r="H25" s="16">
        <v>9618.0440674313995</v>
      </c>
    </row>
    <row r="26" spans="1:8" x14ac:dyDescent="0.25">
      <c r="A26" s="17" t="s">
        <v>55</v>
      </c>
      <c r="B26" s="14">
        <v>2022</v>
      </c>
      <c r="C26" s="16">
        <v>306</v>
      </c>
      <c r="D26" s="16">
        <v>3684</v>
      </c>
      <c r="E26" s="16">
        <v>2473</v>
      </c>
      <c r="F26" s="16">
        <v>3126.0680000000002</v>
      </c>
      <c r="G26" s="16">
        <v>8931000</v>
      </c>
      <c r="H26" s="16">
        <v>5940.1544136000002</v>
      </c>
    </row>
    <row r="27" spans="1:8" x14ac:dyDescent="0.25">
      <c r="A27" s="17"/>
      <c r="B27" s="14">
        <v>2023</v>
      </c>
      <c r="C27" s="16">
        <v>170.28630000000001</v>
      </c>
      <c r="D27" s="16">
        <v>4056.6343630000001</v>
      </c>
      <c r="E27" s="16">
        <v>2476</v>
      </c>
      <c r="F27" s="16">
        <v>3249</v>
      </c>
      <c r="G27" s="16">
        <v>9810000</v>
      </c>
      <c r="H27" s="16">
        <v>6173.7497999999996</v>
      </c>
    </row>
    <row r="28" spans="1:8" x14ac:dyDescent="0.25">
      <c r="A28" s="17"/>
      <c r="B28" s="14">
        <v>2024</v>
      </c>
      <c r="C28" s="16">
        <v>399</v>
      </c>
      <c r="D28" s="16">
        <v>4464</v>
      </c>
      <c r="E28" s="16">
        <v>2335.81</v>
      </c>
      <c r="F28" s="16">
        <v>3084.266271</v>
      </c>
      <c r="G28" s="16">
        <v>10068000</v>
      </c>
      <c r="H28" s="16">
        <v>5860.7227681541999</v>
      </c>
    </row>
    <row r="29" spans="1:8" x14ac:dyDescent="0.25">
      <c r="A29" s="17"/>
      <c r="B29" s="14">
        <v>2025</v>
      </c>
      <c r="C29" s="16">
        <v>359.24979999999999</v>
      </c>
      <c r="D29" s="16">
        <v>4766.2972</v>
      </c>
      <c r="E29" s="16">
        <v>2192.6267400000002</v>
      </c>
      <c r="F29" s="16">
        <v>2930.340635</v>
      </c>
      <c r="G29" s="16">
        <v>9964000</v>
      </c>
      <c r="H29" s="16">
        <v>5568.2332746269994</v>
      </c>
    </row>
    <row r="30" spans="1:8" x14ac:dyDescent="0.25">
      <c r="A30" s="17" t="s">
        <v>56</v>
      </c>
      <c r="B30" s="14">
        <v>2022</v>
      </c>
      <c r="C30" s="16">
        <v>229</v>
      </c>
      <c r="D30" s="16">
        <v>3968</v>
      </c>
      <c r="E30" s="16">
        <v>2615.1999999999998</v>
      </c>
      <c r="F30" s="16">
        <v>3783.9083329999999</v>
      </c>
      <c r="G30" s="16">
        <v>10273000</v>
      </c>
      <c r="H30" s="16">
        <v>7190.1826143665994</v>
      </c>
    </row>
    <row r="31" spans="1:8" x14ac:dyDescent="0.25">
      <c r="A31" s="17"/>
      <c r="B31" s="14">
        <v>2023</v>
      </c>
      <c r="C31" s="16">
        <v>282.27170000000001</v>
      </c>
      <c r="D31" s="16">
        <v>4266.5937739999999</v>
      </c>
      <c r="E31" s="16">
        <v>2718</v>
      </c>
      <c r="F31" s="16">
        <v>3997</v>
      </c>
      <c r="G31" s="16">
        <v>11027000</v>
      </c>
      <c r="H31" s="16">
        <v>7595.0993999999992</v>
      </c>
    </row>
    <row r="32" spans="1:8" x14ac:dyDescent="0.25">
      <c r="A32" s="17"/>
      <c r="B32" s="14">
        <v>2024</v>
      </c>
      <c r="C32" s="16">
        <v>394</v>
      </c>
      <c r="D32" s="16">
        <v>4616</v>
      </c>
      <c r="E32" s="16">
        <v>2589.0102999999999</v>
      </c>
      <c r="F32" s="16">
        <v>4006.5553340000001</v>
      </c>
      <c r="G32" s="16">
        <v>11536000</v>
      </c>
      <c r="H32" s="16">
        <v>7613.2564456667997</v>
      </c>
    </row>
    <row r="33" spans="1:8" x14ac:dyDescent="0.25">
      <c r="A33" s="17"/>
      <c r="B33" s="14">
        <v>2025</v>
      </c>
      <c r="C33" s="16">
        <v>462.7355</v>
      </c>
      <c r="D33" s="16">
        <v>5074.5567300000002</v>
      </c>
      <c r="E33" s="16">
        <v>2436.850629</v>
      </c>
      <c r="F33" s="16">
        <v>4011.483616</v>
      </c>
      <c r="G33" s="16">
        <v>12318000</v>
      </c>
      <c r="H33" s="16">
        <v>7622.6211671231995</v>
      </c>
    </row>
    <row r="34" spans="1:8" x14ac:dyDescent="0.25">
      <c r="A34" s="17" t="s">
        <v>57</v>
      </c>
      <c r="B34" s="14">
        <v>2022</v>
      </c>
      <c r="C34" s="16">
        <v>49</v>
      </c>
      <c r="D34" s="16">
        <v>2666</v>
      </c>
      <c r="E34" s="16">
        <v>3190</v>
      </c>
      <c r="F34" s="16">
        <v>2908.8024999999998</v>
      </c>
      <c r="G34" s="16">
        <v>8102000</v>
      </c>
      <c r="H34" s="16">
        <v>5527.3065104999996</v>
      </c>
    </row>
    <row r="35" spans="1:8" x14ac:dyDescent="0.25">
      <c r="A35" s="17"/>
      <c r="B35" s="14">
        <v>2023</v>
      </c>
      <c r="C35" s="16">
        <v>238.8708</v>
      </c>
      <c r="D35" s="16">
        <v>2712.3247219999998</v>
      </c>
      <c r="E35" s="16">
        <v>3300</v>
      </c>
      <c r="F35" s="16">
        <v>2975</v>
      </c>
      <c r="G35" s="16">
        <v>8595000</v>
      </c>
      <c r="H35" s="16">
        <v>5653.0949999999993</v>
      </c>
    </row>
    <row r="36" spans="1:8" x14ac:dyDescent="0.25">
      <c r="A36" s="17"/>
      <c r="B36" s="14">
        <v>2024</v>
      </c>
      <c r="C36" s="16">
        <v>109</v>
      </c>
      <c r="D36" s="16">
        <v>2685</v>
      </c>
      <c r="E36" s="16">
        <v>3533.49</v>
      </c>
      <c r="F36" s="16">
        <v>3098.842596</v>
      </c>
      <c r="G36" s="16">
        <v>9219000</v>
      </c>
      <c r="H36" s="16">
        <v>5888.4207009191996</v>
      </c>
    </row>
    <row r="37" spans="1:8" x14ac:dyDescent="0.25">
      <c r="A37" s="17"/>
      <c r="B37" s="14">
        <v>2025</v>
      </c>
      <c r="C37" s="16">
        <v>270.86090000000002</v>
      </c>
      <c r="D37" s="16">
        <v>2777.8131800000001</v>
      </c>
      <c r="E37" s="16">
        <v>3473.73</v>
      </c>
      <c r="F37" s="16">
        <v>2981.5527010000001</v>
      </c>
      <c r="G37" s="16">
        <v>9181000</v>
      </c>
      <c r="H37" s="16">
        <v>5665.5464424401998</v>
      </c>
    </row>
    <row r="38" spans="1:8" x14ac:dyDescent="0.25">
      <c r="A38" s="17" t="s">
        <v>58</v>
      </c>
      <c r="B38" s="14">
        <v>2022</v>
      </c>
      <c r="C38" s="16">
        <v>684</v>
      </c>
      <c r="D38" s="16">
        <v>14615</v>
      </c>
      <c r="E38" s="16">
        <v>3639</v>
      </c>
      <c r="F38" s="16">
        <v>15497.4792</v>
      </c>
      <c r="G38" s="16">
        <v>53223000</v>
      </c>
      <c r="H38" s="16">
        <v>29448.309975839999</v>
      </c>
    </row>
    <row r="39" spans="1:8" x14ac:dyDescent="0.25">
      <c r="A39" s="17"/>
      <c r="B39" s="14">
        <v>2023</v>
      </c>
      <c r="C39" s="16">
        <v>1544.5415</v>
      </c>
      <c r="D39" s="16">
        <v>15122.695745999999</v>
      </c>
      <c r="E39" s="16">
        <v>3662</v>
      </c>
      <c r="F39" s="16">
        <v>16272</v>
      </c>
      <c r="G39" s="16">
        <v>55364000</v>
      </c>
      <c r="H39" s="16">
        <v>30920.054399999997</v>
      </c>
    </row>
    <row r="40" spans="1:8" x14ac:dyDescent="0.25">
      <c r="A40" s="17"/>
      <c r="B40" s="14">
        <v>2024</v>
      </c>
      <c r="C40" s="16">
        <v>2091</v>
      </c>
      <c r="D40" s="16">
        <v>15786</v>
      </c>
      <c r="E40" s="16">
        <v>3695.5487419999999</v>
      </c>
      <c r="F40" s="16">
        <v>16544.904465</v>
      </c>
      <c r="G40" s="16">
        <v>57792000</v>
      </c>
      <c r="H40" s="16">
        <v>31438.627464392997</v>
      </c>
    </row>
    <row r="41" spans="1:8" x14ac:dyDescent="0.25">
      <c r="A41" s="17"/>
      <c r="B41" s="14">
        <v>2025</v>
      </c>
      <c r="C41" s="16">
        <v>3541.4349000000002</v>
      </c>
      <c r="D41" s="16">
        <v>18370.045731999999</v>
      </c>
      <c r="E41" s="16">
        <v>3400.615166</v>
      </c>
      <c r="F41" s="16">
        <v>15907.497722</v>
      </c>
      <c r="G41" s="16">
        <v>58893000</v>
      </c>
      <c r="H41" s="16">
        <v>30227.4271713444</v>
      </c>
    </row>
    <row r="42" spans="1:8" x14ac:dyDescent="0.25">
      <c r="A42" s="17" t="s">
        <v>59</v>
      </c>
      <c r="B42" s="14">
        <v>2022</v>
      </c>
      <c r="C42" s="16">
        <v>874</v>
      </c>
      <c r="D42" s="16">
        <v>9600</v>
      </c>
      <c r="E42" s="16">
        <v>4011</v>
      </c>
      <c r="F42" s="16">
        <v>9688.9714999999997</v>
      </c>
      <c r="G42" s="16">
        <v>37599000</v>
      </c>
      <c r="H42" s="16">
        <v>18410.983644299999</v>
      </c>
    </row>
    <row r="43" spans="1:8" x14ac:dyDescent="0.25">
      <c r="A43" s="17"/>
      <c r="B43" s="14">
        <v>2023</v>
      </c>
      <c r="C43" s="16">
        <v>1127.4340999999999</v>
      </c>
      <c r="D43" s="16">
        <v>10048.716258</v>
      </c>
      <c r="E43" s="16">
        <v>3961</v>
      </c>
      <c r="F43" s="16">
        <v>10305</v>
      </c>
      <c r="G43" s="16">
        <v>39393000</v>
      </c>
      <c r="H43" s="16">
        <v>19581.560999999998</v>
      </c>
    </row>
    <row r="44" spans="1:8" x14ac:dyDescent="0.25">
      <c r="A44" s="17"/>
      <c r="B44" s="14">
        <v>2024</v>
      </c>
      <c r="C44" s="16">
        <v>1738</v>
      </c>
      <c r="D44" s="16">
        <v>10834</v>
      </c>
      <c r="E44" s="16">
        <v>4006.7797220000002</v>
      </c>
      <c r="F44" s="16">
        <v>10613.529049000001</v>
      </c>
      <c r="G44" s="16">
        <v>42136000</v>
      </c>
      <c r="H44" s="16">
        <v>20167.8278989098</v>
      </c>
    </row>
    <row r="45" spans="1:8" x14ac:dyDescent="0.25">
      <c r="A45" s="17"/>
      <c r="B45" s="14">
        <v>2025</v>
      </c>
      <c r="C45" s="16">
        <v>2449.8571999999999</v>
      </c>
      <c r="D45" s="16">
        <v>12054.457071000001</v>
      </c>
      <c r="E45" s="16">
        <v>3877.8735620000002</v>
      </c>
      <c r="F45" s="16">
        <v>11284.290548000001</v>
      </c>
      <c r="G45" s="16">
        <v>44801000</v>
      </c>
      <c r="H45" s="16">
        <v>21442.408899309601</v>
      </c>
    </row>
    <row r="46" spans="1:8" x14ac:dyDescent="0.25">
      <c r="A46" s="17" t="s">
        <v>60</v>
      </c>
      <c r="B46" s="14">
        <v>2022</v>
      </c>
      <c r="C46" s="16">
        <v>745</v>
      </c>
      <c r="D46" s="16">
        <v>8028</v>
      </c>
      <c r="E46" s="16">
        <v>3611.9836</v>
      </c>
      <c r="F46" s="16">
        <v>10566.540343999999</v>
      </c>
      <c r="G46" s="16">
        <v>28471000</v>
      </c>
      <c r="H46" s="16">
        <v>20078.539961668797</v>
      </c>
    </row>
    <row r="47" spans="1:8" x14ac:dyDescent="0.25">
      <c r="A47" s="17"/>
      <c r="B47" s="14">
        <v>2023</v>
      </c>
      <c r="C47" s="16">
        <v>1291.6126999999999</v>
      </c>
      <c r="D47" s="16">
        <v>8685.5503740000004</v>
      </c>
      <c r="E47" s="16">
        <v>3655</v>
      </c>
      <c r="F47" s="16">
        <v>10546</v>
      </c>
      <c r="G47" s="16">
        <v>30155000</v>
      </c>
      <c r="H47" s="16">
        <v>20039.5092</v>
      </c>
    </row>
    <row r="48" spans="1:8" x14ac:dyDescent="0.25">
      <c r="A48" s="17"/>
      <c r="B48" s="14">
        <v>2024</v>
      </c>
      <c r="C48" s="16">
        <v>1387</v>
      </c>
      <c r="D48" s="16">
        <v>9616</v>
      </c>
      <c r="E48" s="16">
        <v>3558.4343279999998</v>
      </c>
      <c r="F48" s="16">
        <v>10731.166648</v>
      </c>
      <c r="G48" s="16">
        <v>32039000</v>
      </c>
      <c r="H48" s="16">
        <v>20391.362864529601</v>
      </c>
    </row>
    <row r="49" spans="1:8" x14ac:dyDescent="0.25">
      <c r="A49" s="17"/>
      <c r="B49" s="14">
        <v>2025</v>
      </c>
      <c r="C49" s="16">
        <v>1793.3722</v>
      </c>
      <c r="D49" s="16">
        <v>10490.791127</v>
      </c>
      <c r="E49" s="16">
        <v>3260.2958840000001</v>
      </c>
      <c r="F49" s="16">
        <v>10803.578223</v>
      </c>
      <c r="G49" s="16">
        <v>32072000</v>
      </c>
      <c r="H49" s="16">
        <v>20528.959339344601</v>
      </c>
    </row>
    <row r="50" spans="1:8" x14ac:dyDescent="0.25">
      <c r="A50" s="17" t="s">
        <v>61</v>
      </c>
      <c r="B50" s="14">
        <v>2022</v>
      </c>
      <c r="C50" s="16">
        <v>550</v>
      </c>
      <c r="D50" s="16">
        <v>6745</v>
      </c>
      <c r="E50" s="16">
        <v>4075</v>
      </c>
      <c r="F50" s="16">
        <v>5615.1361999999999</v>
      </c>
      <c r="G50" s="16">
        <v>26322000</v>
      </c>
      <c r="H50" s="16">
        <v>10669.881807239999</v>
      </c>
    </row>
    <row r="51" spans="1:8" x14ac:dyDescent="0.25">
      <c r="A51" s="17"/>
      <c r="B51" s="14">
        <v>2023</v>
      </c>
      <c r="C51" s="16">
        <v>498.02820000000003</v>
      </c>
      <c r="D51" s="16">
        <v>6946.2564499999999</v>
      </c>
      <c r="E51" s="16">
        <v>4115</v>
      </c>
      <c r="F51" s="16">
        <v>5908</v>
      </c>
      <c r="G51" s="16">
        <v>27939000</v>
      </c>
      <c r="H51" s="16">
        <v>11226.381599999999</v>
      </c>
    </row>
    <row r="52" spans="1:8" x14ac:dyDescent="0.25">
      <c r="A52" s="17"/>
      <c r="B52" s="14">
        <v>2024</v>
      </c>
      <c r="C52" s="16">
        <v>607</v>
      </c>
      <c r="D52" s="16">
        <v>7259</v>
      </c>
      <c r="E52" s="16">
        <v>4253.6716630000001</v>
      </c>
      <c r="F52" s="16">
        <v>6840.2221090000003</v>
      </c>
      <c r="G52" s="16">
        <v>29776000</v>
      </c>
      <c r="H52" s="16">
        <v>12997.790051521799</v>
      </c>
    </row>
    <row r="53" spans="1:8" x14ac:dyDescent="0.25">
      <c r="A53" s="17"/>
      <c r="B53" s="14">
        <v>2025</v>
      </c>
      <c r="C53" s="16">
        <v>740.50819999999999</v>
      </c>
      <c r="D53" s="16">
        <v>7781.5943939999997</v>
      </c>
      <c r="E53" s="16">
        <v>4159.011399</v>
      </c>
      <c r="F53" s="16">
        <v>6730.9568589999999</v>
      </c>
      <c r="G53" s="16">
        <v>31450000</v>
      </c>
      <c r="H53" s="16">
        <v>12790.164223471798</v>
      </c>
    </row>
    <row r="54" spans="1:8" x14ac:dyDescent="0.25">
      <c r="A54" s="17" t="s">
        <v>62</v>
      </c>
      <c r="B54" s="14">
        <v>2022</v>
      </c>
      <c r="C54" s="16">
        <v>562</v>
      </c>
      <c r="D54" s="16">
        <v>4694</v>
      </c>
      <c r="E54" s="16">
        <v>3384.7001</v>
      </c>
      <c r="F54" s="16">
        <v>4124.6815200000001</v>
      </c>
      <c r="G54" s="16">
        <v>14096000</v>
      </c>
      <c r="H54" s="16">
        <v>7837.7198243039993</v>
      </c>
    </row>
    <row r="55" spans="1:8" x14ac:dyDescent="0.25">
      <c r="A55" s="17"/>
      <c r="B55" s="14">
        <v>2023</v>
      </c>
      <c r="C55" s="16">
        <v>679.52470000000005</v>
      </c>
      <c r="D55" s="16">
        <v>4908.4110259999998</v>
      </c>
      <c r="E55" s="16">
        <v>3201</v>
      </c>
      <c r="F55" s="16">
        <v>4430</v>
      </c>
      <c r="G55" s="16">
        <v>15042000</v>
      </c>
      <c r="H55" s="16">
        <v>8417.8859999999986</v>
      </c>
    </row>
    <row r="56" spans="1:8" x14ac:dyDescent="0.25">
      <c r="A56" s="17"/>
      <c r="B56" s="14">
        <v>2024</v>
      </c>
      <c r="C56" s="16">
        <v>773</v>
      </c>
      <c r="D56" s="16">
        <v>5599</v>
      </c>
      <c r="E56" s="16">
        <v>3076.367193</v>
      </c>
      <c r="F56" s="16">
        <v>4464.5602179999996</v>
      </c>
      <c r="G56" s="16">
        <v>15499000</v>
      </c>
      <c r="H56" s="16">
        <v>8483.5573262435992</v>
      </c>
    </row>
    <row r="57" spans="1:8" x14ac:dyDescent="0.25">
      <c r="A57" s="17"/>
      <c r="B57" s="14">
        <v>2025</v>
      </c>
      <c r="C57" s="16">
        <v>619.87620000000004</v>
      </c>
      <c r="D57" s="16">
        <v>6010.2217060000003</v>
      </c>
      <c r="E57" s="16">
        <v>2933.9530490000002</v>
      </c>
      <c r="F57" s="16">
        <v>4693.9124780000002</v>
      </c>
      <c r="G57" s="16">
        <v>16441000</v>
      </c>
      <c r="H57" s="16">
        <v>8919.3724906955995</v>
      </c>
    </row>
    <row r="58" spans="1:8" x14ac:dyDescent="0.25">
      <c r="A58" s="17" t="s">
        <v>63</v>
      </c>
      <c r="B58" s="14">
        <v>2022</v>
      </c>
      <c r="C58" s="16">
        <v>1367</v>
      </c>
      <c r="D58" s="16">
        <v>15423</v>
      </c>
      <c r="E58" s="16">
        <v>3541</v>
      </c>
      <c r="F58" s="16">
        <v>17190.907200000001</v>
      </c>
      <c r="G58" s="16">
        <v>52081000</v>
      </c>
      <c r="H58" s="16">
        <v>32666.161861439999</v>
      </c>
    </row>
    <row r="59" spans="1:8" x14ac:dyDescent="0.25">
      <c r="A59" s="17"/>
      <c r="B59" s="14">
        <v>2023</v>
      </c>
      <c r="C59" s="16">
        <v>1960.0307</v>
      </c>
      <c r="D59" s="16">
        <v>16848.9876</v>
      </c>
      <c r="E59" s="16">
        <v>3402</v>
      </c>
      <c r="F59" s="16">
        <v>17038</v>
      </c>
      <c r="G59" s="16">
        <v>53754000</v>
      </c>
      <c r="H59" s="16">
        <v>32375.607599999999</v>
      </c>
    </row>
    <row r="60" spans="1:8" x14ac:dyDescent="0.25">
      <c r="A60" s="17"/>
      <c r="B60" s="14">
        <v>2024</v>
      </c>
      <c r="C60" s="16">
        <v>1605</v>
      </c>
      <c r="D60" s="16">
        <v>17523</v>
      </c>
      <c r="E60" s="16">
        <v>3296.4803809999999</v>
      </c>
      <c r="F60" s="16">
        <v>16290.257877</v>
      </c>
      <c r="G60" s="16">
        <v>55236000</v>
      </c>
      <c r="H60" s="16">
        <v>30954.748017875398</v>
      </c>
    </row>
    <row r="61" spans="1:8" x14ac:dyDescent="0.25">
      <c r="A61" s="17"/>
      <c r="B61" s="14">
        <v>2025</v>
      </c>
      <c r="C61" s="16">
        <v>2039.4860000000001</v>
      </c>
      <c r="D61" s="16">
        <v>19194.495500000001</v>
      </c>
      <c r="E61" s="16">
        <v>2980.6286540000001</v>
      </c>
      <c r="F61" s="16">
        <v>16160.434406</v>
      </c>
      <c r="G61" s="16">
        <v>55899000</v>
      </c>
      <c r="H61" s="16">
        <v>30708.057458281201</v>
      </c>
    </row>
    <row r="62" spans="1:8" x14ac:dyDescent="0.25">
      <c r="A62" s="17" t="s">
        <v>64</v>
      </c>
      <c r="B62" s="14">
        <v>2022</v>
      </c>
      <c r="C62" s="16">
        <v>805</v>
      </c>
      <c r="D62" s="16">
        <v>10175</v>
      </c>
      <c r="E62" s="16">
        <v>2872</v>
      </c>
      <c r="F62" s="16">
        <v>9955.3654000000006</v>
      </c>
      <c r="G62" s="16">
        <v>29076000</v>
      </c>
      <c r="H62" s="16">
        <v>18917.18533308</v>
      </c>
    </row>
    <row r="63" spans="1:8" x14ac:dyDescent="0.25">
      <c r="A63" s="17"/>
      <c r="B63" s="14">
        <v>2023</v>
      </c>
      <c r="C63" s="16">
        <v>1767.8414</v>
      </c>
      <c r="D63" s="16">
        <v>10700.861000000001</v>
      </c>
      <c r="E63" s="16">
        <v>2738</v>
      </c>
      <c r="F63" s="16">
        <v>9173</v>
      </c>
      <c r="G63" s="16">
        <v>28535000</v>
      </c>
      <c r="H63" s="16">
        <v>17430.534599999999</v>
      </c>
    </row>
    <row r="64" spans="1:8" x14ac:dyDescent="0.25">
      <c r="A64" s="17"/>
      <c r="B64" s="14">
        <v>2024</v>
      </c>
      <c r="C64" s="16">
        <v>802</v>
      </c>
      <c r="D64" s="16">
        <v>10832</v>
      </c>
      <c r="E64" s="16">
        <v>2862.2864979999999</v>
      </c>
      <c r="F64" s="16">
        <v>10499.003419999999</v>
      </c>
      <c r="G64" s="16">
        <v>30817000</v>
      </c>
      <c r="H64" s="16">
        <v>19950.206298683996</v>
      </c>
    </row>
    <row r="65" spans="1:8" x14ac:dyDescent="0.25">
      <c r="A65" s="17"/>
      <c r="B65" s="14">
        <v>2025</v>
      </c>
      <c r="C65" s="16">
        <v>1589.338</v>
      </c>
      <c r="D65" s="16">
        <v>11460.66</v>
      </c>
      <c r="E65" s="16">
        <v>2796.3075330000001</v>
      </c>
      <c r="F65" s="16">
        <v>10214.179074</v>
      </c>
      <c r="G65" s="16">
        <v>31508000</v>
      </c>
      <c r="H65" s="16">
        <v>19408.983076414799</v>
      </c>
    </row>
    <row r="66" spans="1:8" x14ac:dyDescent="0.25">
      <c r="A66" s="17" t="s">
        <v>65</v>
      </c>
      <c r="B66" s="14">
        <v>2022</v>
      </c>
      <c r="C66" s="16">
        <v>468</v>
      </c>
      <c r="D66" s="16">
        <v>8841</v>
      </c>
      <c r="E66" s="16">
        <v>3244.37</v>
      </c>
      <c r="F66" s="16">
        <v>4927.6346569999996</v>
      </c>
      <c r="G66" s="16">
        <v>27355000</v>
      </c>
      <c r="H66" s="16">
        <v>9363.4913752313987</v>
      </c>
    </row>
    <row r="67" spans="1:8" x14ac:dyDescent="0.25">
      <c r="A67" s="17"/>
      <c r="B67" s="14">
        <v>2023</v>
      </c>
      <c r="C67" s="16">
        <v>1523.7754</v>
      </c>
      <c r="D67" s="16">
        <v>10078.198818000001</v>
      </c>
      <c r="E67" s="16">
        <v>2983</v>
      </c>
      <c r="F67" s="16">
        <v>4512</v>
      </c>
      <c r="G67" s="16">
        <v>27381000</v>
      </c>
      <c r="H67" s="16">
        <v>8573.7024000000001</v>
      </c>
    </row>
    <row r="68" spans="1:8" x14ac:dyDescent="0.25">
      <c r="A68" s="17"/>
      <c r="B68" s="14">
        <v>2024</v>
      </c>
      <c r="C68" s="16">
        <v>1098</v>
      </c>
      <c r="D68" s="16">
        <v>10814</v>
      </c>
      <c r="E68" s="16">
        <v>2912.34</v>
      </c>
      <c r="F68" s="16">
        <v>4677.455035</v>
      </c>
      <c r="G68" s="16">
        <v>29877000</v>
      </c>
      <c r="H68" s="16">
        <v>8888.1000575069993</v>
      </c>
    </row>
    <row r="69" spans="1:8" x14ac:dyDescent="0.25">
      <c r="A69" s="17"/>
      <c r="B69" s="14">
        <v>2025</v>
      </c>
      <c r="C69" s="16">
        <v>1271.5174999999999</v>
      </c>
      <c r="D69" s="16">
        <v>11356.363439999999</v>
      </c>
      <c r="E69" s="16">
        <v>2803.6933920000001</v>
      </c>
      <c r="F69" s="16">
        <v>4501.9676360000003</v>
      </c>
      <c r="G69" s="16">
        <v>30893000</v>
      </c>
      <c r="H69" s="16">
        <v>8554.6389019271992</v>
      </c>
    </row>
    <row r="70" spans="1:8" x14ac:dyDescent="0.25">
      <c r="A70" s="17" t="s">
        <v>66</v>
      </c>
      <c r="B70" s="14">
        <v>2022</v>
      </c>
      <c r="C70" s="16">
        <v>291</v>
      </c>
      <c r="D70" s="16">
        <v>5076</v>
      </c>
      <c r="E70" s="16">
        <v>3060.11</v>
      </c>
      <c r="F70" s="16">
        <v>3214.5804739999999</v>
      </c>
      <c r="G70" s="16">
        <v>15241000</v>
      </c>
      <c r="H70" s="16">
        <v>6108.3458166947994</v>
      </c>
    </row>
    <row r="71" spans="1:8" x14ac:dyDescent="0.25">
      <c r="A71" s="17"/>
      <c r="B71" s="14">
        <v>2023</v>
      </c>
      <c r="C71" s="16">
        <v>967.64689999999996</v>
      </c>
      <c r="D71" s="16">
        <v>5792.0730059999996</v>
      </c>
      <c r="E71" s="16">
        <v>2879</v>
      </c>
      <c r="F71" s="16">
        <v>3692</v>
      </c>
      <c r="G71" s="16">
        <v>15348000</v>
      </c>
      <c r="H71" s="16">
        <v>7015.5383999999995</v>
      </c>
    </row>
    <row r="72" spans="1:8" x14ac:dyDescent="0.25">
      <c r="A72" s="17"/>
      <c r="B72" s="14">
        <v>2024</v>
      </c>
      <c r="C72" s="16">
        <v>628</v>
      </c>
      <c r="D72" s="16">
        <v>5775</v>
      </c>
      <c r="E72" s="16">
        <v>2674.0353690000002</v>
      </c>
      <c r="F72" s="16">
        <v>3239.0687720000001</v>
      </c>
      <c r="G72" s="16">
        <v>16107000</v>
      </c>
      <c r="H72" s="16">
        <v>6154.8784805544001</v>
      </c>
    </row>
    <row r="73" spans="1:8" x14ac:dyDescent="0.25">
      <c r="A73" s="17"/>
      <c r="B73" s="14">
        <v>2025</v>
      </c>
      <c r="C73" s="16">
        <v>1145.4960000000001</v>
      </c>
      <c r="D73" s="16">
        <v>6494.4947929999998</v>
      </c>
      <c r="E73" s="16">
        <v>2423.8660209999998</v>
      </c>
      <c r="F73" s="16">
        <v>3193.7823469999998</v>
      </c>
      <c r="G73" s="16">
        <v>15566000</v>
      </c>
      <c r="H73" s="16">
        <v>6068.8252157693996</v>
      </c>
    </row>
    <row r="74" spans="1:8" x14ac:dyDescent="0.25">
      <c r="A74" s="17" t="s">
        <v>67</v>
      </c>
      <c r="B74" s="14">
        <v>2022</v>
      </c>
      <c r="C74" s="16">
        <v>1060</v>
      </c>
      <c r="D74" s="16">
        <v>15558</v>
      </c>
      <c r="E74" s="16">
        <v>3572.9069</v>
      </c>
      <c r="F74" s="16">
        <v>12744.115218999999</v>
      </c>
      <c r="G74" s="16">
        <v>55506000</v>
      </c>
      <c r="H74" s="16">
        <v>24216.367739143796</v>
      </c>
    </row>
    <row r="75" spans="1:8" x14ac:dyDescent="0.25">
      <c r="A75" s="17"/>
      <c r="B75" s="14">
        <v>2023</v>
      </c>
      <c r="C75" s="16">
        <v>1442.0958000000001</v>
      </c>
      <c r="D75" s="16">
        <v>16762.467000000001</v>
      </c>
      <c r="E75" s="16">
        <v>3629</v>
      </c>
      <c r="F75" s="16">
        <v>13052</v>
      </c>
      <c r="G75" s="16">
        <v>61120000</v>
      </c>
      <c r="H75" s="16">
        <v>24801.410399999997</v>
      </c>
    </row>
    <row r="76" spans="1:8" x14ac:dyDescent="0.25">
      <c r="A76" s="17"/>
      <c r="B76" s="14">
        <v>2024</v>
      </c>
      <c r="C76" s="16">
        <v>2593</v>
      </c>
      <c r="D76" s="16">
        <v>18903</v>
      </c>
      <c r="E76" s="16">
        <v>3485.4356389999998</v>
      </c>
      <c r="F76" s="16">
        <v>13804.847221</v>
      </c>
      <c r="G76" s="16">
        <v>63603000</v>
      </c>
      <c r="H76" s="16">
        <v>26231.970689344198</v>
      </c>
    </row>
    <row r="77" spans="1:8" x14ac:dyDescent="0.25">
      <c r="A77" s="17"/>
      <c r="B77" s="14">
        <v>2025</v>
      </c>
      <c r="C77" s="16">
        <v>3229.8024999999998</v>
      </c>
      <c r="D77" s="16">
        <v>20542.250212999999</v>
      </c>
      <c r="E77" s="16">
        <v>3236.723759</v>
      </c>
      <c r="F77" s="16">
        <v>14476.306327</v>
      </c>
      <c r="G77" s="16">
        <v>64683000</v>
      </c>
      <c r="H77" s="16">
        <v>27507.877282565398</v>
      </c>
    </row>
    <row r="78" spans="1:8" x14ac:dyDescent="0.25">
      <c r="A78" s="17" t="s">
        <v>68</v>
      </c>
      <c r="B78" s="14">
        <v>2022</v>
      </c>
      <c r="C78" s="16">
        <v>468</v>
      </c>
      <c r="D78" s="16">
        <v>5777</v>
      </c>
      <c r="E78" s="16">
        <v>3269.5963999999999</v>
      </c>
      <c r="F78" s="16">
        <v>2647.956819</v>
      </c>
      <c r="G78" s="16">
        <v>18348000</v>
      </c>
      <c r="H78" s="16">
        <v>5031.6475474638</v>
      </c>
    </row>
    <row r="79" spans="1:8" x14ac:dyDescent="0.25">
      <c r="A79" s="17"/>
      <c r="B79" s="14">
        <v>2023</v>
      </c>
      <c r="C79" s="16">
        <v>940.83410000000003</v>
      </c>
      <c r="D79" s="16">
        <v>6805.4458000000004</v>
      </c>
      <c r="E79" s="16">
        <v>3163</v>
      </c>
      <c r="F79" s="16">
        <v>3476</v>
      </c>
      <c r="G79" s="16">
        <v>20738000</v>
      </c>
      <c r="H79" s="16">
        <v>6605.0951999999997</v>
      </c>
    </row>
    <row r="80" spans="1:8" x14ac:dyDescent="0.25">
      <c r="A80" s="17"/>
      <c r="B80" s="14">
        <v>2024</v>
      </c>
      <c r="C80" s="16">
        <v>1550</v>
      </c>
      <c r="D80" s="16">
        <v>8036</v>
      </c>
      <c r="E80" s="16">
        <v>2814.2302</v>
      </c>
      <c r="F80" s="16">
        <v>2479.5543870000001</v>
      </c>
      <c r="G80" s="16">
        <v>22238000</v>
      </c>
      <c r="H80" s="16">
        <v>4711.6492461773996</v>
      </c>
    </row>
    <row r="81" spans="1:8" x14ac:dyDescent="0.25">
      <c r="A81" s="17"/>
      <c r="B81" s="14">
        <v>2025</v>
      </c>
      <c r="C81" s="16">
        <v>1970.4762000000001</v>
      </c>
      <c r="D81" s="16">
        <v>9582.0069999999996</v>
      </c>
      <c r="E81" s="16">
        <v>2482.1311000000001</v>
      </c>
      <c r="F81" s="16">
        <v>1942.137716</v>
      </c>
      <c r="G81" s="16">
        <v>22947000</v>
      </c>
      <c r="H81" s="16">
        <v>3690.4500879431998</v>
      </c>
    </row>
    <row r="82" spans="1:8" x14ac:dyDescent="0.25">
      <c r="A82" s="17" t="s">
        <v>69</v>
      </c>
      <c r="B82" s="14">
        <v>2022</v>
      </c>
      <c r="C82" s="16">
        <v>207</v>
      </c>
      <c r="D82" s="16">
        <v>1178</v>
      </c>
      <c r="E82" s="16">
        <v>3372.38</v>
      </c>
      <c r="F82" s="16">
        <v>718.91763000000003</v>
      </c>
      <c r="G82" s="16">
        <v>3501000</v>
      </c>
      <c r="H82" s="16">
        <v>1366.0872805260001</v>
      </c>
    </row>
    <row r="83" spans="1:8" x14ac:dyDescent="0.25">
      <c r="A83" s="17"/>
      <c r="B83" s="14">
        <v>2023</v>
      </c>
      <c r="C83" s="16">
        <v>296.87450000000001</v>
      </c>
      <c r="D83" s="16">
        <v>1493.6935000000001</v>
      </c>
      <c r="E83" s="16">
        <v>3099</v>
      </c>
      <c r="F83" s="16">
        <v>742</v>
      </c>
      <c r="G83" s="16">
        <v>4122000</v>
      </c>
      <c r="H83" s="16">
        <v>1409.9484</v>
      </c>
    </row>
    <row r="84" spans="1:8" x14ac:dyDescent="0.25">
      <c r="A84" s="17"/>
      <c r="B84" s="14">
        <v>2024</v>
      </c>
      <c r="C84" s="16">
        <v>262</v>
      </c>
      <c r="D84" s="16">
        <v>1604</v>
      </c>
      <c r="E84" s="16">
        <v>2841.5560949999999</v>
      </c>
      <c r="F84" s="16">
        <v>671.64004499999999</v>
      </c>
      <c r="G84" s="16">
        <v>4316000</v>
      </c>
      <c r="H84" s="16">
        <v>1276.2504135089998</v>
      </c>
    </row>
    <row r="85" spans="1:8" x14ac:dyDescent="0.25">
      <c r="A85" s="17"/>
      <c r="B85" s="14">
        <v>2025</v>
      </c>
      <c r="C85" s="16">
        <v>512.75710000000004</v>
      </c>
      <c r="D85" s="16">
        <v>2028.5593919999999</v>
      </c>
      <c r="E85" s="16">
        <v>2387.59</v>
      </c>
      <c r="F85" s="16">
        <v>749.99143300000003</v>
      </c>
      <c r="G85" s="16">
        <v>4362000</v>
      </c>
      <c r="H85" s="16">
        <v>1425.1337209865999</v>
      </c>
    </row>
    <row r="86" spans="1:8" x14ac:dyDescent="0.25">
      <c r="A86" s="17" t="s">
        <v>70</v>
      </c>
      <c r="B86" s="14">
        <v>2022</v>
      </c>
      <c r="C86" s="16">
        <v>65</v>
      </c>
      <c r="D86" s="16">
        <v>2463</v>
      </c>
      <c r="E86" s="16">
        <v>3551.5322000000001</v>
      </c>
      <c r="F86" s="16">
        <v>2510.5494399999998</v>
      </c>
      <c r="G86" s="16">
        <v>8646000</v>
      </c>
      <c r="H86" s="16">
        <v>4770.5460458879988</v>
      </c>
    </row>
    <row r="87" spans="1:8" x14ac:dyDescent="0.25">
      <c r="A87" s="17"/>
      <c r="B87" s="14">
        <v>2023</v>
      </c>
      <c r="C87" s="16">
        <v>301.47730000000001</v>
      </c>
      <c r="D87" s="16">
        <v>2802.89</v>
      </c>
      <c r="E87" s="16">
        <v>3750</v>
      </c>
      <c r="F87" s="16">
        <v>2884</v>
      </c>
      <c r="G87" s="16">
        <v>9573000</v>
      </c>
      <c r="H87" s="16">
        <v>5480.1767999999993</v>
      </c>
    </row>
    <row r="88" spans="1:8" x14ac:dyDescent="0.25">
      <c r="A88" s="17"/>
      <c r="B88" s="14">
        <v>2024</v>
      </c>
      <c r="C88" s="16">
        <v>259</v>
      </c>
      <c r="D88" s="16">
        <v>2909</v>
      </c>
      <c r="E88" s="16">
        <v>3788.1062449999999</v>
      </c>
      <c r="F88" s="16">
        <v>3242.2239909999998</v>
      </c>
      <c r="G88" s="16">
        <v>10566000</v>
      </c>
      <c r="H88" s="16">
        <v>6160.8740276981989</v>
      </c>
    </row>
    <row r="89" spans="1:8" x14ac:dyDescent="0.25">
      <c r="A89" s="17"/>
      <c r="B89" s="14">
        <v>2025</v>
      </c>
      <c r="C89" s="16">
        <v>573.18550000000005</v>
      </c>
      <c r="D89" s="16">
        <v>3324.7640000000001</v>
      </c>
      <c r="E89" s="16">
        <v>3468.2380509999998</v>
      </c>
      <c r="F89" s="16">
        <v>2875.531919</v>
      </c>
      <c r="G89" s="16">
        <v>10547000</v>
      </c>
      <c r="H89" s="16">
        <v>5464.0857524837993</v>
      </c>
    </row>
    <row r="90" spans="1:8" x14ac:dyDescent="0.25">
      <c r="A90" s="17" t="s">
        <v>71</v>
      </c>
      <c r="B90" s="14">
        <v>2022</v>
      </c>
      <c r="C90" s="16">
        <v>833</v>
      </c>
      <c r="D90" s="16">
        <v>11823</v>
      </c>
      <c r="E90" s="16">
        <v>3797.0518999999999</v>
      </c>
      <c r="F90" s="16">
        <v>2332.9216329999999</v>
      </c>
      <c r="G90" s="16">
        <v>42744000</v>
      </c>
      <c r="H90" s="16">
        <v>4433.0176870265996</v>
      </c>
    </row>
    <row r="91" spans="1:8" x14ac:dyDescent="0.25">
      <c r="A91" s="17"/>
      <c r="B91" s="14">
        <v>2023</v>
      </c>
      <c r="C91" s="16">
        <v>398.30259999999998</v>
      </c>
      <c r="D91" s="16">
        <v>12398.931123</v>
      </c>
      <c r="E91" s="16">
        <v>3688</v>
      </c>
      <c r="F91" s="16">
        <v>2808</v>
      </c>
      <c r="G91" s="16">
        <v>43322000</v>
      </c>
      <c r="H91" s="16">
        <v>5335.7615999999998</v>
      </c>
    </row>
    <row r="92" spans="1:8" x14ac:dyDescent="0.25">
      <c r="A92" s="17"/>
      <c r="B92" s="14">
        <v>2024</v>
      </c>
      <c r="C92" s="16">
        <v>823</v>
      </c>
      <c r="D92" s="16">
        <v>13301</v>
      </c>
      <c r="E92" s="16">
        <v>3651.9797429999999</v>
      </c>
      <c r="F92" s="16">
        <v>3194.4907159999998</v>
      </c>
      <c r="G92" s="16">
        <v>46613000</v>
      </c>
      <c r="H92" s="16">
        <v>6070.1712585431997</v>
      </c>
    </row>
    <row r="93" spans="1:8" x14ac:dyDescent="0.25">
      <c r="A93" s="17"/>
      <c r="B93" s="14">
        <v>2025</v>
      </c>
      <c r="C93" s="16">
        <v>1303.087</v>
      </c>
      <c r="D93" s="16">
        <v>14204.010955</v>
      </c>
      <c r="E93" s="16">
        <v>3464.926641</v>
      </c>
      <c r="F93" s="16">
        <v>2723.7636429999998</v>
      </c>
      <c r="G93" s="16">
        <v>47031000</v>
      </c>
      <c r="H93" s="16">
        <v>5175.695674428599</v>
      </c>
    </row>
    <row r="94" spans="1:8" x14ac:dyDescent="0.25">
      <c r="A94" s="17" t="s">
        <v>72</v>
      </c>
      <c r="B94" s="14">
        <v>2022</v>
      </c>
      <c r="C94" s="16">
        <v>235</v>
      </c>
      <c r="D94" s="16">
        <v>7452</v>
      </c>
      <c r="E94" s="16">
        <v>2846.8144000000002</v>
      </c>
      <c r="F94" s="16">
        <v>6733.4638059999997</v>
      </c>
      <c r="G94" s="16">
        <v>19823000</v>
      </c>
      <c r="H94" s="16">
        <v>12794.927924161198</v>
      </c>
    </row>
    <row r="95" spans="1:8" x14ac:dyDescent="0.25">
      <c r="A95" s="17"/>
      <c r="B95" s="14">
        <v>2023</v>
      </c>
      <c r="C95" s="16">
        <v>305.58499999999998</v>
      </c>
      <c r="D95" s="16">
        <v>7964.1887020000004</v>
      </c>
      <c r="E95" s="16">
        <v>2828</v>
      </c>
      <c r="F95" s="16">
        <v>8186</v>
      </c>
      <c r="G95" s="16">
        <v>20591000</v>
      </c>
      <c r="H95" s="16">
        <v>15555.037199999999</v>
      </c>
    </row>
    <row r="96" spans="1:8" x14ac:dyDescent="0.25">
      <c r="A96" s="17"/>
      <c r="B96" s="14">
        <v>2024</v>
      </c>
      <c r="C96" s="16">
        <v>612</v>
      </c>
      <c r="D96" s="16">
        <v>8615</v>
      </c>
      <c r="E96" s="16">
        <v>2740.0061479999999</v>
      </c>
      <c r="F96" s="16">
        <v>7577.7626129999999</v>
      </c>
      <c r="G96" s="16">
        <v>22142000</v>
      </c>
      <c r="H96" s="16">
        <v>14399.264517222598</v>
      </c>
    </row>
    <row r="97" spans="1:8" x14ac:dyDescent="0.25">
      <c r="A97" s="17"/>
      <c r="B97" s="14">
        <v>2025</v>
      </c>
      <c r="C97" s="16">
        <v>1255.2802999999999</v>
      </c>
      <c r="D97" s="16">
        <v>9838.7084890000006</v>
      </c>
      <c r="E97" s="16">
        <v>2579.7111319999999</v>
      </c>
      <c r="F97" s="16">
        <v>7128.4960410000003</v>
      </c>
      <c r="G97" s="16">
        <v>23363000</v>
      </c>
      <c r="H97" s="16">
        <v>13545.5681771082</v>
      </c>
    </row>
    <row r="98" spans="1:8" x14ac:dyDescent="0.25">
      <c r="A98" s="17" t="s">
        <v>73</v>
      </c>
      <c r="B98" s="14">
        <v>2022</v>
      </c>
      <c r="C98" s="16">
        <v>493</v>
      </c>
      <c r="D98" s="16">
        <v>9505</v>
      </c>
      <c r="E98" s="16">
        <v>3541.7397999999998</v>
      </c>
      <c r="F98" s="16">
        <v>2115.1043770000001</v>
      </c>
      <c r="G98" s="16">
        <v>34815000</v>
      </c>
      <c r="H98" s="16">
        <v>4019.1213371754002</v>
      </c>
    </row>
    <row r="99" spans="1:8" x14ac:dyDescent="0.25">
      <c r="A99" s="17"/>
      <c r="B99" s="14">
        <v>2023</v>
      </c>
      <c r="C99" s="16">
        <v>1424.9241</v>
      </c>
      <c r="D99" s="16">
        <v>10920.0525</v>
      </c>
      <c r="E99" s="16">
        <v>3342</v>
      </c>
      <c r="F99" s="16">
        <v>2991</v>
      </c>
      <c r="G99" s="16">
        <v>36196000</v>
      </c>
      <c r="H99" s="16">
        <v>5683.4982</v>
      </c>
    </row>
    <row r="100" spans="1:8" x14ac:dyDescent="0.25">
      <c r="A100" s="17"/>
      <c r="B100" s="14">
        <v>2024</v>
      </c>
      <c r="C100" s="16">
        <v>1445</v>
      </c>
      <c r="D100" s="16">
        <v>12906</v>
      </c>
      <c r="E100" s="16">
        <v>3081.0475999999999</v>
      </c>
      <c r="F100" s="16">
        <v>2599.4837560000001</v>
      </c>
      <c r="G100" s="16">
        <v>40368000</v>
      </c>
      <c r="H100" s="16">
        <v>4939.5390331511999</v>
      </c>
    </row>
    <row r="101" spans="1:8" x14ac:dyDescent="0.25">
      <c r="A101" s="17"/>
      <c r="B101" s="14">
        <v>2025</v>
      </c>
      <c r="C101" s="16">
        <v>1706.537</v>
      </c>
      <c r="D101" s="16">
        <v>14860.1088</v>
      </c>
      <c r="E101" s="16">
        <v>2744.9764</v>
      </c>
      <c r="F101" s="16">
        <v>2342.8853789999998</v>
      </c>
      <c r="G101" s="16">
        <v>42560000</v>
      </c>
      <c r="H101" s="16">
        <v>4451.9507971757994</v>
      </c>
    </row>
    <row r="102" spans="1:8" x14ac:dyDescent="0.25">
      <c r="A102" s="17" t="s">
        <v>74</v>
      </c>
      <c r="B102" s="14">
        <v>2022</v>
      </c>
      <c r="C102" s="16">
        <v>450</v>
      </c>
      <c r="D102" s="16">
        <v>7683</v>
      </c>
      <c r="E102" s="16">
        <v>3477.81</v>
      </c>
      <c r="F102" s="16">
        <v>8089.7378189999999</v>
      </c>
      <c r="G102" s="16">
        <v>24666000</v>
      </c>
      <c r="H102" s="16">
        <v>15372.1198036638</v>
      </c>
    </row>
    <row r="103" spans="1:8" x14ac:dyDescent="0.25">
      <c r="A103" s="17"/>
      <c r="B103" s="14">
        <v>2023</v>
      </c>
      <c r="C103" s="16">
        <v>1048.7673</v>
      </c>
      <c r="D103" s="16">
        <v>8733.9070859999993</v>
      </c>
      <c r="E103" s="16">
        <v>3334</v>
      </c>
      <c r="F103" s="16">
        <v>8052</v>
      </c>
      <c r="G103" s="16">
        <v>26437000</v>
      </c>
      <c r="H103" s="16">
        <v>15300.410399999999</v>
      </c>
    </row>
    <row r="104" spans="1:8" x14ac:dyDescent="0.25">
      <c r="A104" s="17"/>
      <c r="B104" s="14">
        <v>2024</v>
      </c>
      <c r="C104" s="16">
        <v>1479</v>
      </c>
      <c r="D104" s="16">
        <v>10378</v>
      </c>
      <c r="E104" s="16">
        <v>3184.0749000000001</v>
      </c>
      <c r="F104" s="16">
        <v>8518.7728449999995</v>
      </c>
      <c r="G104" s="16">
        <v>28559000</v>
      </c>
      <c r="H104" s="16">
        <v>16187.372160068999</v>
      </c>
    </row>
    <row r="105" spans="1:8" x14ac:dyDescent="0.25">
      <c r="A105" s="17"/>
      <c r="B105" s="14">
        <v>2025</v>
      </c>
      <c r="C105" s="16">
        <v>925.64890000000003</v>
      </c>
      <c r="D105" s="16">
        <v>11640.057086999999</v>
      </c>
      <c r="E105" s="16">
        <v>2812.655448</v>
      </c>
      <c r="F105" s="16">
        <v>11070.596724999999</v>
      </c>
      <c r="G105" s="16">
        <v>29631000</v>
      </c>
      <c r="H105" s="16">
        <v>21036.347896844996</v>
      </c>
    </row>
    <row r="106" spans="1:8" x14ac:dyDescent="0.25">
      <c r="A106" s="17" t="s">
        <v>75</v>
      </c>
      <c r="B106" s="14">
        <v>2022</v>
      </c>
      <c r="C106" s="16">
        <v>394</v>
      </c>
      <c r="D106" s="16">
        <v>6363</v>
      </c>
      <c r="E106" s="16">
        <v>2962.15</v>
      </c>
      <c r="F106" s="16">
        <v>4952.844204</v>
      </c>
      <c r="G106" s="16">
        <v>16503000</v>
      </c>
      <c r="H106" s="16">
        <v>9411.3945564407986</v>
      </c>
    </row>
    <row r="107" spans="1:8" x14ac:dyDescent="0.25">
      <c r="A107" s="17"/>
      <c r="B107" s="14">
        <v>2023</v>
      </c>
      <c r="C107" s="16">
        <v>1457.3536999999999</v>
      </c>
      <c r="D107" s="16">
        <v>7984.6941999999999</v>
      </c>
      <c r="E107" s="16">
        <v>2735</v>
      </c>
      <c r="F107" s="16">
        <v>4450</v>
      </c>
      <c r="G107" s="16">
        <v>17441000</v>
      </c>
      <c r="H107" s="16">
        <v>8455.89</v>
      </c>
    </row>
    <row r="108" spans="1:8" x14ac:dyDescent="0.25">
      <c r="A108" s="17"/>
      <c r="B108" s="14">
        <v>2024</v>
      </c>
      <c r="C108" s="16">
        <v>936</v>
      </c>
      <c r="D108" s="16">
        <v>9299</v>
      </c>
      <c r="E108" s="16">
        <v>2294.4506000000001</v>
      </c>
      <c r="F108" s="16">
        <v>4478.542085</v>
      </c>
      <c r="G108" s="16">
        <v>18859000</v>
      </c>
      <c r="H108" s="16">
        <v>8510.125669916999</v>
      </c>
    </row>
    <row r="109" spans="1:8" x14ac:dyDescent="0.25">
      <c r="A109" s="17"/>
      <c r="B109" s="14">
        <v>2025</v>
      </c>
      <c r="C109" s="16">
        <v>2194.7372999999998</v>
      </c>
      <c r="D109" s="16">
        <v>11786.2222</v>
      </c>
      <c r="E109" s="16">
        <v>2151.6143910000001</v>
      </c>
      <c r="F109" s="16">
        <v>4798.6561499999998</v>
      </c>
      <c r="G109" s="16">
        <v>21058000</v>
      </c>
      <c r="H109" s="16">
        <v>9118.4064162299983</v>
      </c>
    </row>
    <row r="110" spans="1:8" x14ac:dyDescent="0.25">
      <c r="A110" s="17" t="s">
        <v>76</v>
      </c>
      <c r="B110" s="14">
        <v>2022</v>
      </c>
      <c r="C110" s="16">
        <v>201</v>
      </c>
      <c r="D110" s="16">
        <v>4306</v>
      </c>
      <c r="E110" s="16">
        <v>2100.52</v>
      </c>
      <c r="F110" s="16">
        <v>584.78310299999998</v>
      </c>
      <c r="G110" s="16">
        <v>7825000</v>
      </c>
      <c r="H110" s="16">
        <v>1111.2048523205999</v>
      </c>
    </row>
    <row r="111" spans="1:8" x14ac:dyDescent="0.25">
      <c r="A111" s="17"/>
      <c r="B111" s="14">
        <v>2023</v>
      </c>
      <c r="C111" s="16">
        <v>382.6352</v>
      </c>
      <c r="D111" s="16">
        <v>4882.2978000000003</v>
      </c>
      <c r="E111" s="16">
        <v>1976</v>
      </c>
      <c r="F111" s="16">
        <v>633</v>
      </c>
      <c r="G111" s="16">
        <v>7939000</v>
      </c>
      <c r="H111" s="16">
        <v>1202.8265999999999</v>
      </c>
    </row>
    <row r="112" spans="1:8" x14ac:dyDescent="0.25">
      <c r="A112" s="17"/>
      <c r="B112" s="14">
        <v>2024</v>
      </c>
      <c r="C112" s="16">
        <v>778</v>
      </c>
      <c r="D112" s="16">
        <v>6181</v>
      </c>
      <c r="E112" s="16">
        <v>1803.769775</v>
      </c>
      <c r="F112" s="16">
        <v>519.78398800000002</v>
      </c>
      <c r="G112" s="16">
        <v>9489000</v>
      </c>
      <c r="H112" s="16">
        <v>987.69353399759996</v>
      </c>
    </row>
    <row r="113" spans="1:8" x14ac:dyDescent="0.25">
      <c r="A113" s="17"/>
      <c r="B113" s="14">
        <v>2025</v>
      </c>
      <c r="C113" s="16">
        <v>621.67729999999995</v>
      </c>
      <c r="D113" s="16">
        <v>7570.0097159999996</v>
      </c>
      <c r="E113" s="16">
        <v>1514.5215390000001</v>
      </c>
      <c r="F113" s="16">
        <v>499.400171</v>
      </c>
      <c r="G113" s="16">
        <v>9668000</v>
      </c>
      <c r="H113" s="16">
        <v>948.96020493419996</v>
      </c>
    </row>
    <row r="114" spans="1:8" x14ac:dyDescent="0.25">
      <c r="A114" s="17" t="s">
        <v>77</v>
      </c>
      <c r="B114" s="14">
        <v>2022</v>
      </c>
      <c r="C114" s="16">
        <v>196</v>
      </c>
      <c r="D114" s="16">
        <v>6154</v>
      </c>
      <c r="E114" s="16">
        <v>3139.44</v>
      </c>
      <c r="F114" s="16">
        <v>7095.6018899999999</v>
      </c>
      <c r="G114" s="16">
        <v>19569000</v>
      </c>
      <c r="H114" s="16">
        <v>13483.062711377999</v>
      </c>
    </row>
    <row r="115" spans="1:8" x14ac:dyDescent="0.25">
      <c r="A115" s="17"/>
      <c r="B115" s="14">
        <v>2023</v>
      </c>
      <c r="C115" s="16">
        <v>585.9855</v>
      </c>
      <c r="D115" s="16">
        <v>6927.0436</v>
      </c>
      <c r="E115" s="16">
        <v>3023</v>
      </c>
      <c r="F115" s="16">
        <v>7320</v>
      </c>
      <c r="G115" s="16">
        <v>20277000</v>
      </c>
      <c r="H115" s="16">
        <v>13909.464</v>
      </c>
    </row>
    <row r="116" spans="1:8" x14ac:dyDescent="0.25">
      <c r="A116" s="17"/>
      <c r="B116" s="14">
        <v>2024</v>
      </c>
      <c r="C116" s="16">
        <v>458</v>
      </c>
      <c r="D116" s="16">
        <v>7252</v>
      </c>
      <c r="E116" s="16">
        <v>2846.089528</v>
      </c>
      <c r="F116" s="16">
        <v>6829.540782</v>
      </c>
      <c r="G116" s="16">
        <v>20758000</v>
      </c>
      <c r="H116" s="16">
        <v>12977.4933939564</v>
      </c>
    </row>
    <row r="117" spans="1:8" x14ac:dyDescent="0.25">
      <c r="A117" s="17"/>
      <c r="B117" s="14">
        <v>2025</v>
      </c>
      <c r="C117" s="16">
        <v>1564.7349999999999</v>
      </c>
      <c r="D117" s="16">
        <v>8785.7615999999998</v>
      </c>
      <c r="E117" s="16">
        <v>2677.1458859999998</v>
      </c>
      <c r="F117" s="16">
        <v>6733.6106870000003</v>
      </c>
      <c r="G117" s="16">
        <v>21738000</v>
      </c>
      <c r="H117" s="16">
        <v>12795.2070274374</v>
      </c>
    </row>
    <row r="118" spans="1:8" x14ac:dyDescent="0.25">
      <c r="A118" s="17" t="s">
        <v>78</v>
      </c>
      <c r="B118" s="14">
        <v>2022</v>
      </c>
      <c r="C118" s="16">
        <v>234</v>
      </c>
      <c r="D118" s="16">
        <v>11539</v>
      </c>
      <c r="E118" s="16">
        <v>3656.2438189999998</v>
      </c>
      <c r="F118" s="16">
        <v>5808.5821340000002</v>
      </c>
      <c r="G118" s="16">
        <v>42373000</v>
      </c>
      <c r="H118" s="16">
        <v>11037.467771026801</v>
      </c>
    </row>
    <row r="119" spans="1:8" x14ac:dyDescent="0.25">
      <c r="A119" s="17"/>
      <c r="B119" s="14">
        <v>2023</v>
      </c>
      <c r="C119" s="16">
        <v>2427.9735000000001</v>
      </c>
      <c r="D119" s="16">
        <v>14435.154500000001</v>
      </c>
      <c r="E119" s="16">
        <v>3510</v>
      </c>
      <c r="F119" s="16">
        <v>13785</v>
      </c>
      <c r="G119" s="16">
        <v>44427000</v>
      </c>
      <c r="H119" s="16">
        <v>26194.256999999998</v>
      </c>
    </row>
    <row r="120" spans="1:8" x14ac:dyDescent="0.25">
      <c r="A120" s="17"/>
      <c r="B120" s="14">
        <v>2024</v>
      </c>
      <c r="C120" s="16">
        <v>2856</v>
      </c>
      <c r="D120" s="16">
        <v>17449</v>
      </c>
      <c r="E120" s="16">
        <v>3056.574423</v>
      </c>
      <c r="F120" s="16">
        <v>15740.478109</v>
      </c>
      <c r="G120" s="16">
        <v>48198000</v>
      </c>
      <c r="H120" s="16">
        <v>29910.056502721796</v>
      </c>
    </row>
    <row r="121" spans="1:8" x14ac:dyDescent="0.25">
      <c r="A121" s="17"/>
      <c r="B121" s="14">
        <v>2025</v>
      </c>
      <c r="C121" s="16">
        <v>5202.4341000000004</v>
      </c>
      <c r="D121" s="16">
        <v>24303.824565999999</v>
      </c>
      <c r="E121" s="16">
        <v>2354.4238700000001</v>
      </c>
      <c r="F121" s="16">
        <v>15646.974699</v>
      </c>
      <c r="G121" s="16">
        <v>51420000</v>
      </c>
      <c r="H121" s="16">
        <v>29732.381323039797</v>
      </c>
    </row>
  </sheetData>
  <mergeCells count="30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18:A121"/>
    <mergeCell ref="A102:A105"/>
    <mergeCell ref="A106:A109"/>
    <mergeCell ref="A110:A113"/>
    <mergeCell ref="A114:A117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017B-C75C-4D8F-932A-DA784E62A2F6}">
  <sheetPr codeName="Sheet6"/>
  <dimension ref="A1:AS121"/>
  <sheetViews>
    <sheetView workbookViewId="0">
      <selection activeCell="M1" sqref="M1:AS8"/>
      <pivotSelection pane="bottomRight" showHeader="1" activeCol="12" previousCol="12" click="1" r:id="rId1">
        <pivotArea type="all" dataOnly="0" outline="0" fieldPosition="0"/>
      </pivotSelection>
    </sheetView>
  </sheetViews>
  <sheetFormatPr defaultRowHeight="14.4" x14ac:dyDescent="0.25"/>
  <cols>
    <col min="3" max="3" width="13" customWidth="1"/>
    <col min="4" max="4" width="9.21875" style="2"/>
    <col min="6" max="6" width="9.21875" style="2"/>
    <col min="7" max="7" width="13.6640625" customWidth="1"/>
    <col min="8" max="8" width="14.88671875" style="2" customWidth="1"/>
    <col min="13" max="13" width="14.44140625" bestFit="1" customWidth="1"/>
    <col min="14" max="14" width="17.77734375" bestFit="1" customWidth="1"/>
    <col min="15" max="15" width="5.33203125" bestFit="1" customWidth="1"/>
    <col min="16" max="16" width="14.44140625" bestFit="1" customWidth="1"/>
    <col min="17" max="17" width="12.33203125" bestFit="1" customWidth="1"/>
    <col min="18" max="18" width="14.44140625" bestFit="1" customWidth="1"/>
    <col min="19" max="19" width="13.21875" bestFit="1" customWidth="1"/>
    <col min="20" max="21" width="5.33203125" bestFit="1" customWidth="1"/>
    <col min="22" max="27" width="13.21875" bestFit="1" customWidth="1"/>
    <col min="28" max="28" width="14.44140625" bestFit="1" customWidth="1"/>
    <col min="29" max="29" width="12.33203125" bestFit="1" customWidth="1"/>
    <col min="30" max="30" width="13.21875" bestFit="1" customWidth="1"/>
    <col min="31" max="31" width="7.44140625" bestFit="1" customWidth="1"/>
    <col min="32" max="32" width="13.21875" bestFit="1" customWidth="1"/>
    <col min="33" max="33" width="5.33203125" bestFit="1" customWidth="1"/>
    <col min="34" max="34" width="13.44140625" bestFit="1" customWidth="1"/>
    <col min="35" max="35" width="5.33203125" bestFit="1" customWidth="1"/>
    <col min="36" max="36" width="13.44140625" bestFit="1" customWidth="1"/>
    <col min="37" max="37" width="13.21875" bestFit="1" customWidth="1"/>
    <col min="38" max="38" width="5.33203125" bestFit="1" customWidth="1"/>
    <col min="39" max="40" width="13.21875" bestFit="1" customWidth="1"/>
    <col min="41" max="42" width="14.44140625" bestFit="1" customWidth="1"/>
    <col min="43" max="43" width="5.33203125" bestFit="1" customWidth="1"/>
    <col min="44" max="44" width="8.77734375" bestFit="1" customWidth="1"/>
    <col min="45" max="45" width="13.21875" bestFit="1" customWidth="1"/>
    <col min="46" max="74" width="17.77734375" bestFit="1" customWidth="1"/>
    <col min="75" max="75" width="20" bestFit="1" customWidth="1"/>
    <col min="76" max="76" width="16.77734375" bestFit="1" customWidth="1"/>
  </cols>
  <sheetData>
    <row r="1" spans="1:45" x14ac:dyDescent="0.25">
      <c r="A1" t="s">
        <v>0</v>
      </c>
      <c r="B1" s="1" t="s">
        <v>85</v>
      </c>
      <c r="C1" s="1" t="s">
        <v>86</v>
      </c>
      <c r="D1" s="3" t="s">
        <v>31</v>
      </c>
      <c r="E1" s="1" t="s">
        <v>34</v>
      </c>
      <c r="F1" s="3" t="s">
        <v>32</v>
      </c>
      <c r="G1" s="1" t="s">
        <v>34</v>
      </c>
      <c r="H1" s="3" t="s">
        <v>33</v>
      </c>
      <c r="I1" s="1" t="s">
        <v>34</v>
      </c>
      <c r="M1" s="5" t="s">
        <v>39</v>
      </c>
      <c r="N1" s="5" t="s">
        <v>38</v>
      </c>
    </row>
    <row r="2" spans="1:45" x14ac:dyDescent="0.25">
      <c r="A2">
        <v>1</v>
      </c>
      <c r="B2" t="s">
        <v>1</v>
      </c>
      <c r="C2">
        <v>2022</v>
      </c>
      <c r="D2" s="2">
        <v>0</v>
      </c>
      <c r="E2">
        <v>0</v>
      </c>
      <c r="F2" s="2">
        <v>0</v>
      </c>
      <c r="G2" s="4">
        <v>5</v>
      </c>
      <c r="H2" s="2">
        <v>0</v>
      </c>
      <c r="I2" s="4">
        <v>5</v>
      </c>
      <c r="M2" s="5" t="s">
        <v>35</v>
      </c>
      <c r="N2" t="s">
        <v>12</v>
      </c>
      <c r="O2" t="s">
        <v>1</v>
      </c>
      <c r="P2" t="s">
        <v>13</v>
      </c>
      <c r="Q2" t="s">
        <v>27</v>
      </c>
      <c r="R2" t="s">
        <v>19</v>
      </c>
      <c r="S2" t="s">
        <v>20</v>
      </c>
      <c r="T2" t="s">
        <v>24</v>
      </c>
      <c r="U2" t="s">
        <v>21</v>
      </c>
      <c r="V2" t="s">
        <v>3</v>
      </c>
      <c r="W2" t="s">
        <v>16</v>
      </c>
      <c r="X2" t="s">
        <v>8</v>
      </c>
      <c r="Y2" t="s">
        <v>17</v>
      </c>
      <c r="Z2" t="s">
        <v>18</v>
      </c>
      <c r="AA2" t="s">
        <v>7</v>
      </c>
      <c r="AB2" t="s">
        <v>10</v>
      </c>
      <c r="AC2" t="s">
        <v>14</v>
      </c>
      <c r="AD2" t="s">
        <v>6</v>
      </c>
      <c r="AE2" t="s">
        <v>5</v>
      </c>
      <c r="AF2" t="s">
        <v>29</v>
      </c>
      <c r="AG2" t="s">
        <v>28</v>
      </c>
      <c r="AH2" t="s">
        <v>15</v>
      </c>
      <c r="AI2" t="s">
        <v>4</v>
      </c>
      <c r="AJ2" t="s">
        <v>26</v>
      </c>
      <c r="AK2" t="s">
        <v>9</v>
      </c>
      <c r="AL2" t="s">
        <v>23</v>
      </c>
      <c r="AM2" t="s">
        <v>2</v>
      </c>
      <c r="AN2" t="s">
        <v>30</v>
      </c>
      <c r="AO2" t="s">
        <v>25</v>
      </c>
      <c r="AP2" t="s">
        <v>11</v>
      </c>
      <c r="AQ2" t="s">
        <v>22</v>
      </c>
      <c r="AR2" t="s">
        <v>36</v>
      </c>
      <c r="AS2" t="s">
        <v>37</v>
      </c>
    </row>
    <row r="3" spans="1:45" x14ac:dyDescent="0.25">
      <c r="A3">
        <v>2</v>
      </c>
      <c r="B3" t="s">
        <v>2</v>
      </c>
      <c r="C3">
        <v>2022</v>
      </c>
      <c r="D3" s="2">
        <v>0.11297180561157247</v>
      </c>
      <c r="E3">
        <v>0</v>
      </c>
      <c r="F3" s="2">
        <v>0.12601394086837095</v>
      </c>
      <c r="G3">
        <v>0</v>
      </c>
      <c r="H3" s="2">
        <v>0</v>
      </c>
      <c r="I3" s="4">
        <v>5</v>
      </c>
      <c r="M3" s="6">
        <v>2022</v>
      </c>
      <c r="N3">
        <v>-3.9909172191969385E-2</v>
      </c>
      <c r="O3">
        <v>0</v>
      </c>
      <c r="P3">
        <v>1.1431521267735709E-2</v>
      </c>
      <c r="Q3">
        <v>0.4322892776181112</v>
      </c>
      <c r="R3">
        <v>0</v>
      </c>
      <c r="S3">
        <v>0.13309405687959325</v>
      </c>
      <c r="T3">
        <v>0</v>
      </c>
      <c r="U3">
        <v>0</v>
      </c>
      <c r="V3">
        <v>0.17924043791323002</v>
      </c>
      <c r="W3">
        <v>0.25250499764425505</v>
      </c>
      <c r="X3">
        <v>0.24933392329057238</v>
      </c>
      <c r="Y3">
        <v>0.17796100792824998</v>
      </c>
      <c r="Z3">
        <v>0.27379328460156266</v>
      </c>
      <c r="AA3">
        <v>0.62179105226477271</v>
      </c>
      <c r="AB3">
        <v>0</v>
      </c>
      <c r="AC3">
        <v>0.23963747709229091</v>
      </c>
      <c r="AD3">
        <v>0.13951821302414114</v>
      </c>
      <c r="AE3">
        <v>0</v>
      </c>
      <c r="AF3">
        <v>0</v>
      </c>
      <c r="AG3">
        <v>0</v>
      </c>
      <c r="AH3">
        <v>4.5714374016408779E-2</v>
      </c>
      <c r="AI3">
        <v>0</v>
      </c>
      <c r="AJ3">
        <v>-3.0099195609761244E-2</v>
      </c>
      <c r="AK3">
        <v>0</v>
      </c>
      <c r="AL3">
        <v>0</v>
      </c>
      <c r="AM3">
        <v>0</v>
      </c>
      <c r="AN3">
        <v>0</v>
      </c>
      <c r="AO3">
        <v>-8.8521367263840398E-2</v>
      </c>
      <c r="AP3">
        <v>-1.9032026137523521E-2</v>
      </c>
      <c r="AQ3">
        <v>0</v>
      </c>
      <c r="AS3">
        <v>8.5958262077927686E-2</v>
      </c>
    </row>
    <row r="4" spans="1:45" x14ac:dyDescent="0.25">
      <c r="A4">
        <v>3</v>
      </c>
      <c r="B4" t="s">
        <v>3</v>
      </c>
      <c r="C4">
        <v>2022</v>
      </c>
      <c r="D4" s="2">
        <v>-2.2204460492503131E-16</v>
      </c>
      <c r="E4">
        <v>0</v>
      </c>
      <c r="F4" s="2">
        <v>0</v>
      </c>
      <c r="G4" s="4">
        <v>5</v>
      </c>
      <c r="H4" s="2">
        <v>0.17924043791323002</v>
      </c>
      <c r="I4">
        <v>0</v>
      </c>
      <c r="M4" s="6">
        <v>2023</v>
      </c>
      <c r="N4">
        <v>0</v>
      </c>
      <c r="O4">
        <v>0</v>
      </c>
      <c r="P4">
        <v>-6.4018496182327425E-2</v>
      </c>
      <c r="Q4">
        <v>0</v>
      </c>
      <c r="R4">
        <v>-7.2309217346852792E-2</v>
      </c>
      <c r="S4">
        <v>0.10267059578060161</v>
      </c>
      <c r="T4">
        <v>0</v>
      </c>
      <c r="U4">
        <v>0</v>
      </c>
      <c r="V4">
        <v>0.21796054285512706</v>
      </c>
      <c r="W4">
        <v>0.17463943865427484</v>
      </c>
      <c r="X4">
        <v>0.37339016977589118</v>
      </c>
      <c r="Y4">
        <v>0.17188215923474129</v>
      </c>
      <c r="Z4">
        <v>0.26262496408573549</v>
      </c>
      <c r="AA4">
        <v>0</v>
      </c>
      <c r="AB4">
        <v>-5.020635968367762E-2</v>
      </c>
      <c r="AC4">
        <v>0.23469108452806881</v>
      </c>
      <c r="AD4">
        <v>0.32005898837613578</v>
      </c>
      <c r="AE4">
        <v>0</v>
      </c>
      <c r="AF4">
        <v>0.27597805213467458</v>
      </c>
      <c r="AG4">
        <v>0</v>
      </c>
      <c r="AH4">
        <v>7.9113736934776163E-2</v>
      </c>
      <c r="AI4">
        <v>0</v>
      </c>
      <c r="AJ4">
        <v>0.27005630363121363</v>
      </c>
      <c r="AK4">
        <v>0.16158954357759411</v>
      </c>
      <c r="AL4">
        <v>0</v>
      </c>
      <c r="AM4">
        <v>9.0956820909972119E-2</v>
      </c>
      <c r="AN4">
        <v>0</v>
      </c>
      <c r="AO4">
        <v>-6.030808626725398E-2</v>
      </c>
      <c r="AP4">
        <v>-2.2403039229585892E-2</v>
      </c>
      <c r="AQ4">
        <v>0</v>
      </c>
      <c r="AS4">
        <v>8.2212240058970307E-2</v>
      </c>
    </row>
    <row r="5" spans="1:45" x14ac:dyDescent="0.25">
      <c r="A5">
        <v>4</v>
      </c>
      <c r="B5" t="s">
        <v>4</v>
      </c>
      <c r="C5">
        <v>2022</v>
      </c>
      <c r="D5" s="2">
        <v>0.14603711597680602</v>
      </c>
      <c r="E5">
        <v>0</v>
      </c>
      <c r="F5" s="2">
        <v>0</v>
      </c>
      <c r="G5" s="4">
        <v>5</v>
      </c>
      <c r="H5" s="2">
        <v>0</v>
      </c>
      <c r="I5" s="4">
        <v>5</v>
      </c>
      <c r="M5" s="6">
        <v>2024</v>
      </c>
      <c r="N5">
        <v>0</v>
      </c>
      <c r="O5">
        <v>0</v>
      </c>
      <c r="P5">
        <v>-0.22663021742018311</v>
      </c>
      <c r="Q5">
        <v>0.63070282105270092</v>
      </c>
      <c r="R5">
        <v>-5.3806578633169649E-2</v>
      </c>
      <c r="S5">
        <v>-3.3624750364073384E-2</v>
      </c>
      <c r="T5">
        <v>0</v>
      </c>
      <c r="U5">
        <v>0</v>
      </c>
      <c r="V5">
        <v>0.20183443992549255</v>
      </c>
      <c r="W5">
        <v>0</v>
      </c>
      <c r="X5">
        <v>0.38643601160892821</v>
      </c>
      <c r="Y5">
        <v>0.22242011144201862</v>
      </c>
      <c r="Z5">
        <v>0.30569753988628845</v>
      </c>
      <c r="AA5">
        <v>0.60528001597430847</v>
      </c>
      <c r="AB5">
        <v>-0.18044952978696818</v>
      </c>
      <c r="AC5">
        <v>0.36787379963179667</v>
      </c>
      <c r="AD5">
        <v>0.34355272738294534</v>
      </c>
      <c r="AE5">
        <v>0</v>
      </c>
      <c r="AF5">
        <v>0</v>
      </c>
      <c r="AG5">
        <v>0</v>
      </c>
      <c r="AH5">
        <v>-2.588178110755017E-2</v>
      </c>
      <c r="AI5">
        <v>0</v>
      </c>
      <c r="AJ5">
        <v>0.28548259390823044</v>
      </c>
      <c r="AK5">
        <v>0</v>
      </c>
      <c r="AL5">
        <v>0</v>
      </c>
      <c r="AM5">
        <v>7.3354520072226773E-2</v>
      </c>
      <c r="AN5">
        <v>0.13971118999986473</v>
      </c>
      <c r="AO5">
        <v>1.8624042573038306E-3</v>
      </c>
      <c r="AP5">
        <v>-0.1034940689822188</v>
      </c>
      <c r="AQ5">
        <v>0</v>
      </c>
      <c r="AS5">
        <v>9.8010708294931401E-2</v>
      </c>
    </row>
    <row r="6" spans="1:45" x14ac:dyDescent="0.25">
      <c r="A6">
        <v>5</v>
      </c>
      <c r="B6" t="s">
        <v>5</v>
      </c>
      <c r="C6">
        <v>2022</v>
      </c>
      <c r="D6" s="2">
        <v>-1.1102230246251565E-16</v>
      </c>
      <c r="E6">
        <v>0</v>
      </c>
      <c r="F6" s="2">
        <v>0</v>
      </c>
      <c r="G6" s="4">
        <v>5</v>
      </c>
      <c r="H6" s="2">
        <v>0</v>
      </c>
      <c r="I6" s="4">
        <v>5</v>
      </c>
      <c r="M6" s="6">
        <v>2025</v>
      </c>
    </row>
    <row r="7" spans="1:45" x14ac:dyDescent="0.25">
      <c r="A7">
        <v>6</v>
      </c>
      <c r="B7" t="s">
        <v>6</v>
      </c>
      <c r="C7">
        <v>2022</v>
      </c>
      <c r="D7" s="2">
        <v>0.24306843060022218</v>
      </c>
      <c r="E7">
        <v>0</v>
      </c>
      <c r="F7" s="2">
        <v>0.31140311385255787</v>
      </c>
      <c r="G7">
        <v>0</v>
      </c>
      <c r="H7" s="2">
        <v>0.13951821302414114</v>
      </c>
      <c r="I7">
        <v>0</v>
      </c>
      <c r="M7" s="6" t="s">
        <v>36</v>
      </c>
    </row>
    <row r="8" spans="1:45" x14ac:dyDescent="0.25">
      <c r="A8">
        <v>7</v>
      </c>
      <c r="B8" t="s">
        <v>7</v>
      </c>
      <c r="C8">
        <v>2022</v>
      </c>
      <c r="D8" s="2">
        <v>0.59540888146956172</v>
      </c>
      <c r="E8">
        <v>0</v>
      </c>
      <c r="F8" s="2">
        <v>0.53645680381600169</v>
      </c>
      <c r="G8">
        <v>0</v>
      </c>
      <c r="H8" s="2">
        <v>0.62179105226477271</v>
      </c>
      <c r="I8">
        <v>0</v>
      </c>
      <c r="M8" s="6" t="s">
        <v>37</v>
      </c>
      <c r="N8">
        <v>-1.3303057397323128E-2</v>
      </c>
      <c r="O8">
        <v>0</v>
      </c>
      <c r="P8">
        <v>-9.3072397444924945E-2</v>
      </c>
      <c r="Q8">
        <v>0.35433069955693736</v>
      </c>
      <c r="R8">
        <v>-4.2038598660007476E-2</v>
      </c>
      <c r="S8">
        <v>6.7379967432040486E-2</v>
      </c>
      <c r="T8">
        <v>0</v>
      </c>
      <c r="U8">
        <v>0</v>
      </c>
      <c r="V8">
        <v>0.19967847356461654</v>
      </c>
      <c r="W8">
        <v>0.14238147876617663</v>
      </c>
      <c r="X8">
        <v>0.3363867015584639</v>
      </c>
      <c r="Y8">
        <v>0.19075442620166996</v>
      </c>
      <c r="Z8">
        <v>0.28070526285786218</v>
      </c>
      <c r="AA8">
        <v>0.40902368941302703</v>
      </c>
      <c r="AB8">
        <v>-7.6885296490215263E-2</v>
      </c>
      <c r="AC8">
        <v>0.28073412041738549</v>
      </c>
      <c r="AD8">
        <v>0.26770997626107412</v>
      </c>
      <c r="AE8">
        <v>0</v>
      </c>
      <c r="AF8">
        <v>9.1992684044891526E-2</v>
      </c>
      <c r="AG8">
        <v>0</v>
      </c>
      <c r="AH8">
        <v>3.2982109947878258E-2</v>
      </c>
      <c r="AI8">
        <v>0</v>
      </c>
      <c r="AJ8">
        <v>0.17514656730989428</v>
      </c>
      <c r="AK8">
        <v>5.3863181192531369E-2</v>
      </c>
      <c r="AL8">
        <v>0</v>
      </c>
      <c r="AM8">
        <v>5.4770446994066302E-2</v>
      </c>
      <c r="AN8">
        <v>4.6570396666621577E-2</v>
      </c>
      <c r="AO8">
        <v>-4.8989016424596854E-2</v>
      </c>
      <c r="AP8">
        <v>-4.8309711449776076E-2</v>
      </c>
      <c r="AQ8">
        <v>0</v>
      </c>
      <c r="AS8">
        <v>8.8727070143943126E-2</v>
      </c>
    </row>
    <row r="9" spans="1:45" x14ac:dyDescent="0.25">
      <c r="A9">
        <v>8</v>
      </c>
      <c r="B9" t="s">
        <v>8</v>
      </c>
      <c r="C9">
        <v>2022</v>
      </c>
      <c r="D9" s="2">
        <v>0.4577733874129063</v>
      </c>
      <c r="E9">
        <v>0</v>
      </c>
      <c r="F9" s="2">
        <v>0.47741843537446227</v>
      </c>
      <c r="G9">
        <v>0</v>
      </c>
      <c r="H9" s="2">
        <v>0.24933392329057238</v>
      </c>
      <c r="I9">
        <v>0</v>
      </c>
    </row>
    <row r="10" spans="1:45" x14ac:dyDescent="0.25">
      <c r="A10">
        <v>9</v>
      </c>
      <c r="B10" t="s">
        <v>9</v>
      </c>
      <c r="C10">
        <v>2022</v>
      </c>
      <c r="D10" s="2">
        <v>-1.8091158449765667E-14</v>
      </c>
      <c r="E10">
        <v>0</v>
      </c>
      <c r="F10" s="2">
        <v>0.10674032490343888</v>
      </c>
      <c r="G10">
        <v>0</v>
      </c>
      <c r="H10" s="2">
        <v>0</v>
      </c>
      <c r="I10" s="4">
        <v>5</v>
      </c>
    </row>
    <row r="11" spans="1:45" x14ac:dyDescent="0.25">
      <c r="A11">
        <v>10</v>
      </c>
      <c r="B11" t="s">
        <v>10</v>
      </c>
      <c r="C11">
        <v>2022</v>
      </c>
      <c r="D11" s="2">
        <v>-1.1102230246251565E-16</v>
      </c>
      <c r="E11">
        <v>0</v>
      </c>
      <c r="F11" s="2">
        <v>0</v>
      </c>
      <c r="G11" s="4">
        <v>5</v>
      </c>
      <c r="H11" s="2">
        <v>0</v>
      </c>
      <c r="I11" s="4">
        <v>5</v>
      </c>
    </row>
    <row r="12" spans="1:45" x14ac:dyDescent="0.25">
      <c r="A12">
        <v>11</v>
      </c>
      <c r="B12" t="s">
        <v>11</v>
      </c>
      <c r="C12">
        <v>2022</v>
      </c>
      <c r="D12" s="2">
        <v>0</v>
      </c>
      <c r="E12">
        <v>0</v>
      </c>
      <c r="F12" s="2">
        <v>0</v>
      </c>
      <c r="G12" s="4">
        <v>5</v>
      </c>
      <c r="H12" s="2">
        <v>-1.9032026137523521E-2</v>
      </c>
      <c r="I12">
        <v>0</v>
      </c>
    </row>
    <row r="13" spans="1:45" x14ac:dyDescent="0.25">
      <c r="A13">
        <v>12</v>
      </c>
      <c r="B13" t="s">
        <v>12</v>
      </c>
      <c r="C13">
        <v>2022</v>
      </c>
      <c r="D13" s="2">
        <v>-1.1102230246251565E-16</v>
      </c>
      <c r="E13">
        <v>0</v>
      </c>
      <c r="F13" s="2">
        <v>0</v>
      </c>
      <c r="G13" s="4">
        <v>5</v>
      </c>
      <c r="H13" s="2">
        <v>-3.9909172191969385E-2</v>
      </c>
      <c r="I13">
        <v>0</v>
      </c>
    </row>
    <row r="14" spans="1:45" x14ac:dyDescent="0.25">
      <c r="A14">
        <v>13</v>
      </c>
      <c r="B14" t="s">
        <v>13</v>
      </c>
      <c r="C14">
        <v>2022</v>
      </c>
      <c r="D14" s="2">
        <v>-2.8922912619776728E-16</v>
      </c>
      <c r="E14">
        <v>0</v>
      </c>
      <c r="F14" s="2">
        <v>-4.1248904390414814E-2</v>
      </c>
      <c r="G14">
        <v>0</v>
      </c>
      <c r="H14" s="2">
        <v>1.1431521267735709E-2</v>
      </c>
      <c r="I14">
        <v>0</v>
      </c>
    </row>
    <row r="15" spans="1:45" x14ac:dyDescent="0.25">
      <c r="A15">
        <v>14</v>
      </c>
      <c r="B15" t="s">
        <v>14</v>
      </c>
      <c r="C15">
        <v>2022</v>
      </c>
      <c r="D15" s="2">
        <v>-1.3322676295501878E-15</v>
      </c>
      <c r="E15">
        <v>0</v>
      </c>
      <c r="F15" s="2">
        <v>0</v>
      </c>
      <c r="G15" s="4">
        <v>5</v>
      </c>
      <c r="H15" s="2">
        <v>0.23963747709229091</v>
      </c>
      <c r="I15">
        <v>0</v>
      </c>
    </row>
    <row r="16" spans="1:45" x14ac:dyDescent="0.25">
      <c r="A16">
        <v>15</v>
      </c>
      <c r="B16" t="s">
        <v>15</v>
      </c>
      <c r="C16">
        <v>2022</v>
      </c>
      <c r="D16" s="2">
        <v>-1.1102230246251565E-16</v>
      </c>
      <c r="E16">
        <v>0</v>
      </c>
      <c r="F16" s="2">
        <v>0</v>
      </c>
      <c r="G16" s="4">
        <v>5</v>
      </c>
      <c r="H16" s="2">
        <v>4.5714374016408779E-2</v>
      </c>
      <c r="I16">
        <v>0</v>
      </c>
    </row>
    <row r="17" spans="1:9" x14ac:dyDescent="0.25">
      <c r="A17">
        <v>16</v>
      </c>
      <c r="B17" t="s">
        <v>16</v>
      </c>
      <c r="C17">
        <v>2022</v>
      </c>
      <c r="D17" s="2">
        <v>0.26512855585112205</v>
      </c>
      <c r="E17">
        <v>0</v>
      </c>
      <c r="F17" s="2">
        <v>0</v>
      </c>
      <c r="G17" s="4">
        <v>5</v>
      </c>
      <c r="H17" s="2">
        <v>0.25250499764425505</v>
      </c>
      <c r="I17">
        <v>0</v>
      </c>
    </row>
    <row r="18" spans="1:9" x14ac:dyDescent="0.25">
      <c r="A18">
        <v>17</v>
      </c>
      <c r="B18" t="s">
        <v>17</v>
      </c>
      <c r="C18">
        <v>2022</v>
      </c>
      <c r="D18" s="2">
        <v>0.2096356586204848</v>
      </c>
      <c r="E18">
        <v>0</v>
      </c>
      <c r="F18" s="2">
        <v>0</v>
      </c>
      <c r="G18" s="4">
        <v>5</v>
      </c>
      <c r="H18" s="2">
        <v>0.17796100792824998</v>
      </c>
      <c r="I18">
        <v>0</v>
      </c>
    </row>
    <row r="19" spans="1:9" x14ac:dyDescent="0.25">
      <c r="A19">
        <v>18</v>
      </c>
      <c r="B19" t="s">
        <v>18</v>
      </c>
      <c r="C19">
        <v>2022</v>
      </c>
      <c r="D19" s="2">
        <v>0.2553786716762626</v>
      </c>
      <c r="E19">
        <v>0</v>
      </c>
      <c r="F19" s="2">
        <v>0</v>
      </c>
      <c r="G19" s="4">
        <v>5</v>
      </c>
      <c r="H19" s="2">
        <v>0.27379328460156266</v>
      </c>
      <c r="I19">
        <v>0</v>
      </c>
    </row>
    <row r="20" spans="1:9" x14ac:dyDescent="0.25">
      <c r="A20">
        <v>19</v>
      </c>
      <c r="B20" t="s">
        <v>19</v>
      </c>
      <c r="C20">
        <v>2022</v>
      </c>
      <c r="D20" s="2">
        <v>-2.1094237467877974E-15</v>
      </c>
      <c r="E20">
        <v>0</v>
      </c>
      <c r="F20" s="2">
        <v>0</v>
      </c>
      <c r="G20" s="4">
        <v>5</v>
      </c>
      <c r="H20" s="2">
        <v>0</v>
      </c>
      <c r="I20" s="4">
        <v>5</v>
      </c>
    </row>
    <row r="21" spans="1:9" x14ac:dyDescent="0.25">
      <c r="A21">
        <v>20</v>
      </c>
      <c r="B21" t="s">
        <v>20</v>
      </c>
      <c r="C21">
        <v>2022</v>
      </c>
      <c r="D21" s="2">
        <v>0.15934118727229174</v>
      </c>
      <c r="E21">
        <v>0</v>
      </c>
      <c r="F21" s="2">
        <v>0</v>
      </c>
      <c r="G21" s="4">
        <v>5</v>
      </c>
      <c r="H21" s="2">
        <v>0.13309405687959325</v>
      </c>
      <c r="I21">
        <v>0</v>
      </c>
    </row>
    <row r="22" spans="1:9" x14ac:dyDescent="0.25">
      <c r="A22">
        <v>21</v>
      </c>
      <c r="B22" t="s">
        <v>21</v>
      </c>
      <c r="C22">
        <v>2022</v>
      </c>
      <c r="D22" s="2">
        <v>-8.8817841970012523E-16</v>
      </c>
      <c r="E22">
        <v>0</v>
      </c>
      <c r="F22" s="2">
        <v>0</v>
      </c>
      <c r="G22" s="4">
        <v>5</v>
      </c>
      <c r="H22" s="2">
        <v>0</v>
      </c>
      <c r="I22" s="4">
        <v>5</v>
      </c>
    </row>
    <row r="23" spans="1:9" x14ac:dyDescent="0.25">
      <c r="A23">
        <v>22</v>
      </c>
      <c r="B23" t="s">
        <v>22</v>
      </c>
      <c r="C23">
        <v>2022</v>
      </c>
      <c r="D23" s="2">
        <v>-3.8709493625766434E-15</v>
      </c>
      <c r="E23">
        <v>0</v>
      </c>
      <c r="F23" s="2">
        <v>1.7287067600380367E-2</v>
      </c>
      <c r="G23">
        <v>0</v>
      </c>
      <c r="H23" s="2">
        <v>0</v>
      </c>
      <c r="I23" s="4">
        <v>5</v>
      </c>
    </row>
    <row r="24" spans="1:9" x14ac:dyDescent="0.25">
      <c r="A24">
        <v>23</v>
      </c>
      <c r="B24" t="s">
        <v>23</v>
      </c>
      <c r="C24">
        <v>2022</v>
      </c>
      <c r="D24" s="2">
        <v>-4.4408920985006262E-16</v>
      </c>
      <c r="E24">
        <v>0</v>
      </c>
      <c r="F24" s="2">
        <v>0</v>
      </c>
      <c r="G24" s="4">
        <v>5</v>
      </c>
      <c r="H24" s="2">
        <v>0</v>
      </c>
      <c r="I24" s="4">
        <v>5</v>
      </c>
    </row>
    <row r="25" spans="1:9" x14ac:dyDescent="0.25">
      <c r="A25">
        <v>24</v>
      </c>
      <c r="B25" t="s">
        <v>24</v>
      </c>
      <c r="C25">
        <v>2022</v>
      </c>
      <c r="D25" s="2">
        <v>0.38796089215598684</v>
      </c>
      <c r="E25">
        <v>0</v>
      </c>
      <c r="F25" s="2">
        <v>0.43914919587235479</v>
      </c>
      <c r="G25">
        <v>0</v>
      </c>
      <c r="H25" s="2">
        <v>0</v>
      </c>
      <c r="I25" s="4">
        <v>5</v>
      </c>
    </row>
    <row r="26" spans="1:9" x14ac:dyDescent="0.25">
      <c r="A26">
        <v>25</v>
      </c>
      <c r="B26" t="s">
        <v>25</v>
      </c>
      <c r="C26">
        <v>2022</v>
      </c>
      <c r="D26" s="2">
        <v>-5.32002046500059E-15</v>
      </c>
      <c r="E26">
        <v>0</v>
      </c>
      <c r="F26" s="2">
        <v>0</v>
      </c>
      <c r="G26" s="4">
        <v>5</v>
      </c>
      <c r="H26" s="2">
        <v>-8.8521367263840398E-2</v>
      </c>
      <c r="I26">
        <v>0</v>
      </c>
    </row>
    <row r="27" spans="1:9" x14ac:dyDescent="0.25">
      <c r="A27">
        <v>26</v>
      </c>
      <c r="B27" t="s">
        <v>26</v>
      </c>
      <c r="C27">
        <v>2022</v>
      </c>
      <c r="D27" s="2">
        <v>0.18400825027004836</v>
      </c>
      <c r="E27">
        <v>0</v>
      </c>
      <c r="F27" s="2">
        <v>0</v>
      </c>
      <c r="G27" s="4">
        <v>5</v>
      </c>
      <c r="H27" s="2">
        <v>-3.0099195609761244E-2</v>
      </c>
      <c r="I27">
        <v>0</v>
      </c>
    </row>
    <row r="28" spans="1:9" x14ac:dyDescent="0.25">
      <c r="A28">
        <v>27</v>
      </c>
      <c r="B28" t="s">
        <v>27</v>
      </c>
      <c r="C28">
        <v>2022</v>
      </c>
      <c r="D28" s="2">
        <v>0.47419540634185109</v>
      </c>
      <c r="E28">
        <v>0</v>
      </c>
      <c r="F28" s="2">
        <v>0</v>
      </c>
      <c r="G28" s="4">
        <v>5</v>
      </c>
      <c r="H28" s="2">
        <v>0.4322892776181112</v>
      </c>
      <c r="I28">
        <v>0</v>
      </c>
    </row>
    <row r="29" spans="1:9" x14ac:dyDescent="0.25">
      <c r="A29">
        <v>28</v>
      </c>
      <c r="B29" t="s">
        <v>28</v>
      </c>
      <c r="C29">
        <v>2022</v>
      </c>
      <c r="D29" s="2">
        <v>1.8429702208777599E-14</v>
      </c>
      <c r="E29">
        <v>0</v>
      </c>
      <c r="F29" s="2">
        <v>0</v>
      </c>
      <c r="G29" s="4">
        <v>5</v>
      </c>
      <c r="H29" s="2">
        <v>0</v>
      </c>
      <c r="I29" s="4">
        <v>5</v>
      </c>
    </row>
    <row r="30" spans="1:9" x14ac:dyDescent="0.25">
      <c r="A30">
        <v>29</v>
      </c>
      <c r="B30" t="s">
        <v>29</v>
      </c>
      <c r="C30">
        <v>2022</v>
      </c>
      <c r="D30" s="2">
        <v>0.15107834737670534</v>
      </c>
      <c r="E30">
        <v>0</v>
      </c>
      <c r="F30" s="2">
        <v>0.32742623531912929</v>
      </c>
      <c r="G30">
        <v>0</v>
      </c>
      <c r="H30" s="2">
        <v>0</v>
      </c>
      <c r="I30" s="4">
        <v>5</v>
      </c>
    </row>
    <row r="31" spans="1:9" x14ac:dyDescent="0.25">
      <c r="A31">
        <v>30</v>
      </c>
      <c r="B31" t="s">
        <v>30</v>
      </c>
      <c r="C31">
        <v>2022</v>
      </c>
      <c r="D31" s="2">
        <v>-6.6613381477509392E-16</v>
      </c>
      <c r="E31">
        <v>0</v>
      </c>
      <c r="F31" s="2">
        <v>0</v>
      </c>
      <c r="G31" s="4">
        <v>5</v>
      </c>
      <c r="H31" s="2">
        <v>0</v>
      </c>
      <c r="I31" s="4">
        <v>5</v>
      </c>
    </row>
    <row r="32" spans="1:9" x14ac:dyDescent="0.25">
      <c r="A32">
        <v>1</v>
      </c>
      <c r="B32" t="s">
        <v>1</v>
      </c>
      <c r="C32">
        <v>2023</v>
      </c>
      <c r="D32" s="2">
        <v>0</v>
      </c>
      <c r="E32">
        <v>0</v>
      </c>
      <c r="F32" s="2">
        <v>0</v>
      </c>
      <c r="G32" s="4">
        <v>5</v>
      </c>
      <c r="H32" s="2">
        <v>0</v>
      </c>
      <c r="I32" s="4">
        <v>5</v>
      </c>
    </row>
    <row r="33" spans="1:9" x14ac:dyDescent="0.25">
      <c r="A33">
        <v>2</v>
      </c>
      <c r="B33" t="s">
        <v>2</v>
      </c>
      <c r="C33">
        <v>2023</v>
      </c>
      <c r="D33" s="2">
        <v>8.7879178121185786E-2</v>
      </c>
      <c r="E33">
        <v>0</v>
      </c>
      <c r="F33" s="2">
        <v>0.12039288391327166</v>
      </c>
      <c r="G33">
        <v>0</v>
      </c>
      <c r="H33" s="2">
        <v>9.0956820909972119E-2</v>
      </c>
      <c r="I33">
        <v>0</v>
      </c>
    </row>
    <row r="34" spans="1:9" x14ac:dyDescent="0.25">
      <c r="A34">
        <v>3</v>
      </c>
      <c r="B34" t="s">
        <v>3</v>
      </c>
      <c r="C34">
        <v>2023</v>
      </c>
      <c r="D34" s="2">
        <v>0.17610091558333055</v>
      </c>
      <c r="E34">
        <v>0</v>
      </c>
      <c r="F34" s="2">
        <v>0</v>
      </c>
      <c r="G34" s="4">
        <v>5</v>
      </c>
      <c r="H34" s="2">
        <v>0.21796054285512706</v>
      </c>
      <c r="I34">
        <v>0</v>
      </c>
    </row>
    <row r="35" spans="1:9" x14ac:dyDescent="0.25">
      <c r="A35">
        <v>4</v>
      </c>
      <c r="B35" t="s">
        <v>4</v>
      </c>
      <c r="C35">
        <v>2023</v>
      </c>
      <c r="D35" s="2">
        <v>1.4223408609306366E-2</v>
      </c>
      <c r="E35">
        <v>0</v>
      </c>
      <c r="F35" s="2">
        <v>0</v>
      </c>
      <c r="G35" s="4">
        <v>5</v>
      </c>
      <c r="H35" s="2">
        <v>0</v>
      </c>
      <c r="I35" s="4">
        <v>5</v>
      </c>
    </row>
    <row r="36" spans="1:9" x14ac:dyDescent="0.25">
      <c r="A36">
        <v>5</v>
      </c>
      <c r="B36" t="s">
        <v>5</v>
      </c>
      <c r="C36">
        <v>2023</v>
      </c>
      <c r="D36" s="2">
        <v>0</v>
      </c>
      <c r="E36">
        <v>0</v>
      </c>
      <c r="F36" s="2">
        <v>0</v>
      </c>
      <c r="G36" s="4">
        <v>5</v>
      </c>
      <c r="H36" s="2">
        <v>0</v>
      </c>
      <c r="I36" s="4">
        <v>5</v>
      </c>
    </row>
    <row r="37" spans="1:9" x14ac:dyDescent="0.25">
      <c r="A37">
        <v>6</v>
      </c>
      <c r="B37" t="s">
        <v>6</v>
      </c>
      <c r="C37">
        <v>2023</v>
      </c>
      <c r="D37" s="2">
        <v>0.31373492300656991</v>
      </c>
      <c r="E37">
        <v>0</v>
      </c>
      <c r="F37" s="2">
        <v>0.36390491888939347</v>
      </c>
      <c r="G37">
        <v>0</v>
      </c>
      <c r="H37" s="2">
        <v>0.32005898837613578</v>
      </c>
      <c r="I37">
        <v>0</v>
      </c>
    </row>
    <row r="38" spans="1:9" x14ac:dyDescent="0.25">
      <c r="A38">
        <v>7</v>
      </c>
      <c r="B38" t="s">
        <v>7</v>
      </c>
      <c r="C38">
        <v>2023</v>
      </c>
      <c r="D38" s="2">
        <v>0.26077836714355079</v>
      </c>
      <c r="E38">
        <v>0</v>
      </c>
      <c r="F38" s="2">
        <v>0.69193686256504228</v>
      </c>
      <c r="G38">
        <v>0</v>
      </c>
      <c r="H38" s="2">
        <v>0</v>
      </c>
      <c r="I38" s="4">
        <v>5</v>
      </c>
    </row>
    <row r="39" spans="1:9" x14ac:dyDescent="0.25">
      <c r="A39">
        <v>8</v>
      </c>
      <c r="B39" t="s">
        <v>8</v>
      </c>
      <c r="C39">
        <v>2023</v>
      </c>
      <c r="D39" s="2">
        <v>0.38183638407790116</v>
      </c>
      <c r="E39">
        <v>0</v>
      </c>
      <c r="F39" s="2">
        <v>0.58221675387036054</v>
      </c>
      <c r="G39">
        <v>0</v>
      </c>
      <c r="H39" s="2">
        <v>0.37339016977589118</v>
      </c>
      <c r="I39">
        <v>0</v>
      </c>
    </row>
    <row r="40" spans="1:9" x14ac:dyDescent="0.25">
      <c r="A40">
        <v>9</v>
      </c>
      <c r="B40" t="s">
        <v>9</v>
      </c>
      <c r="C40">
        <v>2023</v>
      </c>
      <c r="D40" s="2">
        <v>-2.2204460492503131E-15</v>
      </c>
      <c r="E40">
        <v>0</v>
      </c>
      <c r="F40" s="2">
        <v>0</v>
      </c>
      <c r="G40" s="4">
        <v>5</v>
      </c>
      <c r="H40" s="2">
        <v>0.16158954357759411</v>
      </c>
      <c r="I40">
        <v>0</v>
      </c>
    </row>
    <row r="41" spans="1:9" x14ac:dyDescent="0.25">
      <c r="A41">
        <v>10</v>
      </c>
      <c r="B41" t="s">
        <v>10</v>
      </c>
      <c r="C41">
        <v>2023</v>
      </c>
      <c r="D41" s="2">
        <v>-2.7755575615628914E-16</v>
      </c>
      <c r="E41">
        <v>0</v>
      </c>
      <c r="F41" s="2">
        <v>-8.5825991525278644E-2</v>
      </c>
      <c r="G41">
        <v>0</v>
      </c>
      <c r="H41" s="2">
        <v>-5.020635968367762E-2</v>
      </c>
      <c r="I41">
        <v>0</v>
      </c>
    </row>
    <row r="42" spans="1:9" x14ac:dyDescent="0.25">
      <c r="A42">
        <v>11</v>
      </c>
      <c r="B42" t="s">
        <v>11</v>
      </c>
      <c r="C42">
        <v>2023</v>
      </c>
      <c r="D42" s="2">
        <v>-1.8041124150158794E-16</v>
      </c>
      <c r="E42">
        <v>0</v>
      </c>
      <c r="F42" s="2">
        <v>-0.1731435020063595</v>
      </c>
      <c r="G42">
        <v>0</v>
      </c>
      <c r="H42" s="2">
        <v>-2.2403039229585892E-2</v>
      </c>
      <c r="I42">
        <v>0</v>
      </c>
    </row>
    <row r="43" spans="1:9" x14ac:dyDescent="0.25">
      <c r="A43">
        <v>12</v>
      </c>
      <c r="B43" t="s">
        <v>12</v>
      </c>
      <c r="C43">
        <v>2023</v>
      </c>
      <c r="D43" s="2">
        <v>-1.3322676295501878E-15</v>
      </c>
      <c r="E43">
        <v>0</v>
      </c>
      <c r="F43" s="2">
        <v>4.427494716595861E-2</v>
      </c>
      <c r="G43">
        <v>0</v>
      </c>
      <c r="H43" s="2">
        <v>0</v>
      </c>
      <c r="I43" s="4">
        <v>5</v>
      </c>
    </row>
    <row r="44" spans="1:9" x14ac:dyDescent="0.25">
      <c r="A44">
        <v>13</v>
      </c>
      <c r="B44" t="s">
        <v>13</v>
      </c>
      <c r="C44">
        <v>2023</v>
      </c>
      <c r="D44" s="2">
        <v>-1.6375789613221059E-15</v>
      </c>
      <c r="E44">
        <v>0</v>
      </c>
      <c r="F44" s="2">
        <v>-4.7933560096990659E-2</v>
      </c>
      <c r="G44">
        <v>0</v>
      </c>
      <c r="H44" s="2">
        <v>-6.4018496182327425E-2</v>
      </c>
      <c r="I44">
        <v>0</v>
      </c>
    </row>
    <row r="45" spans="1:9" x14ac:dyDescent="0.25">
      <c r="A45">
        <v>14</v>
      </c>
      <c r="B45" t="s">
        <v>14</v>
      </c>
      <c r="C45">
        <v>2023</v>
      </c>
      <c r="D45" s="2">
        <v>0.15572938586108226</v>
      </c>
      <c r="E45">
        <v>0</v>
      </c>
      <c r="F45" s="2">
        <v>0.25815193632827699</v>
      </c>
      <c r="G45">
        <v>0</v>
      </c>
      <c r="H45" s="2">
        <v>0.23469108452806881</v>
      </c>
      <c r="I45">
        <v>0</v>
      </c>
    </row>
    <row r="46" spans="1:9" x14ac:dyDescent="0.25">
      <c r="A46">
        <v>15</v>
      </c>
      <c r="B46" t="s">
        <v>15</v>
      </c>
      <c r="C46">
        <v>2023</v>
      </c>
      <c r="D46" s="2">
        <v>-2.6645352591003757E-15</v>
      </c>
      <c r="E46">
        <v>0</v>
      </c>
      <c r="F46" s="2">
        <v>0</v>
      </c>
      <c r="G46" s="4">
        <v>5</v>
      </c>
      <c r="H46" s="2">
        <v>7.9113736934776163E-2</v>
      </c>
      <c r="I46">
        <v>0</v>
      </c>
    </row>
    <row r="47" spans="1:9" x14ac:dyDescent="0.25">
      <c r="A47">
        <v>16</v>
      </c>
      <c r="B47" t="s">
        <v>16</v>
      </c>
      <c r="C47">
        <v>2023</v>
      </c>
      <c r="D47" s="2">
        <v>0.13807294644382512</v>
      </c>
      <c r="E47">
        <v>0</v>
      </c>
      <c r="F47" s="2">
        <v>0.23260141500570025</v>
      </c>
      <c r="G47">
        <v>0</v>
      </c>
      <c r="H47" s="2">
        <v>0.17463943865427484</v>
      </c>
      <c r="I47">
        <v>0</v>
      </c>
    </row>
    <row r="48" spans="1:9" x14ac:dyDescent="0.25">
      <c r="A48">
        <v>17</v>
      </c>
      <c r="B48" t="s">
        <v>17</v>
      </c>
      <c r="C48">
        <v>2023</v>
      </c>
      <c r="D48" s="2">
        <v>-1.1524777739677544E-15</v>
      </c>
      <c r="E48">
        <v>0</v>
      </c>
      <c r="F48" s="2">
        <v>0</v>
      </c>
      <c r="G48" s="4">
        <v>5</v>
      </c>
      <c r="H48" s="2">
        <v>0.17188215923474129</v>
      </c>
      <c r="I48">
        <v>0</v>
      </c>
    </row>
    <row r="49" spans="1:9" x14ac:dyDescent="0.25">
      <c r="A49">
        <v>18</v>
      </c>
      <c r="B49" t="s">
        <v>18</v>
      </c>
      <c r="C49">
        <v>2023</v>
      </c>
      <c r="D49" s="2">
        <v>7.5491858409827112E-2</v>
      </c>
      <c r="E49">
        <v>0</v>
      </c>
      <c r="F49" s="2">
        <v>0.29713022127932454</v>
      </c>
      <c r="G49">
        <v>0</v>
      </c>
      <c r="H49" s="2">
        <v>0.26262496408573549</v>
      </c>
      <c r="I49">
        <v>0</v>
      </c>
    </row>
    <row r="50" spans="1:9" x14ac:dyDescent="0.25">
      <c r="A50">
        <v>19</v>
      </c>
      <c r="B50" t="s">
        <v>19</v>
      </c>
      <c r="C50">
        <v>2023</v>
      </c>
      <c r="D50" s="2">
        <v>-1.675778254117614E-15</v>
      </c>
      <c r="E50">
        <v>0</v>
      </c>
      <c r="F50" s="2">
        <v>0</v>
      </c>
      <c r="G50" s="4">
        <v>5</v>
      </c>
      <c r="H50" s="2">
        <v>-7.2309217346852792E-2</v>
      </c>
      <c r="I50">
        <v>0</v>
      </c>
    </row>
    <row r="51" spans="1:9" x14ac:dyDescent="0.25">
      <c r="A51">
        <v>20</v>
      </c>
      <c r="B51" t="s">
        <v>20</v>
      </c>
      <c r="C51">
        <v>2023</v>
      </c>
      <c r="D51" s="2">
        <v>9.5501403870970697E-2</v>
      </c>
      <c r="E51">
        <v>0</v>
      </c>
      <c r="F51" s="2">
        <v>0</v>
      </c>
      <c r="G51" s="4">
        <v>5</v>
      </c>
      <c r="H51" s="2">
        <v>0.10267059578060161</v>
      </c>
      <c r="I51">
        <v>0</v>
      </c>
    </row>
    <row r="52" spans="1:9" x14ac:dyDescent="0.25">
      <c r="A52">
        <v>21</v>
      </c>
      <c r="B52" t="s">
        <v>21</v>
      </c>
      <c r="C52">
        <v>2023</v>
      </c>
      <c r="D52" s="2">
        <v>-1.1592671542722696E-15</v>
      </c>
      <c r="E52">
        <v>0</v>
      </c>
      <c r="F52" s="2">
        <v>9.0605691927776996E-2</v>
      </c>
      <c r="G52">
        <v>0</v>
      </c>
      <c r="H52" s="2">
        <v>0</v>
      </c>
      <c r="I52" s="4">
        <v>5</v>
      </c>
    </row>
    <row r="53" spans="1:9" x14ac:dyDescent="0.25">
      <c r="A53">
        <v>22</v>
      </c>
      <c r="B53" t="s">
        <v>22</v>
      </c>
      <c r="C53">
        <v>2023</v>
      </c>
      <c r="D53" s="2">
        <v>-1.702307188683693E-14</v>
      </c>
      <c r="E53">
        <v>0</v>
      </c>
      <c r="F53" s="2">
        <v>0</v>
      </c>
      <c r="G53" s="4">
        <v>5</v>
      </c>
      <c r="H53" s="2">
        <v>0</v>
      </c>
      <c r="I53" s="4">
        <v>5</v>
      </c>
    </row>
    <row r="54" spans="1:9" x14ac:dyDescent="0.25">
      <c r="A54">
        <v>23</v>
      </c>
      <c r="B54" t="s">
        <v>23</v>
      </c>
      <c r="C54">
        <v>2023</v>
      </c>
      <c r="D54" s="2">
        <v>-8.8817841970012523E-16</v>
      </c>
      <c r="E54">
        <v>0</v>
      </c>
      <c r="F54" s="2">
        <v>0</v>
      </c>
      <c r="G54" s="4">
        <v>5</v>
      </c>
      <c r="H54" s="2">
        <v>0</v>
      </c>
      <c r="I54" s="4">
        <v>5</v>
      </c>
    </row>
    <row r="55" spans="1:9" x14ac:dyDescent="0.25">
      <c r="A55">
        <v>24</v>
      </c>
      <c r="B55" t="s">
        <v>24</v>
      </c>
      <c r="C55">
        <v>2023</v>
      </c>
      <c r="D55" s="2">
        <v>2.6090348757529796E-15</v>
      </c>
      <c r="E55">
        <v>0</v>
      </c>
      <c r="F55" s="2">
        <v>0.40020520089159661</v>
      </c>
      <c r="G55">
        <v>0</v>
      </c>
      <c r="H55" s="2">
        <v>0</v>
      </c>
      <c r="I55" s="4">
        <v>5</v>
      </c>
    </row>
    <row r="56" spans="1:9" x14ac:dyDescent="0.25">
      <c r="A56">
        <v>25</v>
      </c>
      <c r="B56" t="s">
        <v>25</v>
      </c>
      <c r="C56">
        <v>2023</v>
      </c>
      <c r="D56" s="2">
        <v>-2.2204460492503131E-16</v>
      </c>
      <c r="E56">
        <v>0</v>
      </c>
      <c r="F56" s="2">
        <v>0</v>
      </c>
      <c r="G56" s="4">
        <v>5</v>
      </c>
      <c r="H56" s="2">
        <v>-6.030808626725398E-2</v>
      </c>
      <c r="I56">
        <v>0</v>
      </c>
    </row>
    <row r="57" spans="1:9" x14ac:dyDescent="0.25">
      <c r="A57">
        <v>26</v>
      </c>
      <c r="B57" t="s">
        <v>26</v>
      </c>
      <c r="C57">
        <v>2023</v>
      </c>
      <c r="D57" s="2">
        <v>0.24267505258960695</v>
      </c>
      <c r="E57">
        <v>0</v>
      </c>
      <c r="F57" s="2">
        <v>0.23158832413353397</v>
      </c>
      <c r="G57">
        <v>0</v>
      </c>
      <c r="H57" s="2">
        <v>0.27005630363121363</v>
      </c>
      <c r="I57">
        <v>0</v>
      </c>
    </row>
    <row r="58" spans="1:9" x14ac:dyDescent="0.25">
      <c r="A58">
        <v>27</v>
      </c>
      <c r="B58" t="s">
        <v>27</v>
      </c>
      <c r="C58">
        <v>2023</v>
      </c>
      <c r="D58" s="2">
        <v>-1.4432899320127035E-15</v>
      </c>
      <c r="E58">
        <v>0</v>
      </c>
      <c r="F58" s="2">
        <v>0</v>
      </c>
      <c r="G58" s="4">
        <v>5</v>
      </c>
      <c r="H58" s="2">
        <v>0</v>
      </c>
      <c r="I58" s="4">
        <v>5</v>
      </c>
    </row>
    <row r="59" spans="1:9" x14ac:dyDescent="0.25">
      <c r="A59">
        <v>28</v>
      </c>
      <c r="B59" t="s">
        <v>28</v>
      </c>
      <c r="C59">
        <v>2023</v>
      </c>
      <c r="D59" s="2">
        <v>-6.3282712403633923E-15</v>
      </c>
      <c r="E59">
        <v>0</v>
      </c>
      <c r="F59" s="2">
        <v>0</v>
      </c>
      <c r="G59" s="4">
        <v>5</v>
      </c>
      <c r="H59" s="2">
        <v>0</v>
      </c>
      <c r="I59" s="4">
        <v>5</v>
      </c>
    </row>
    <row r="60" spans="1:9" x14ac:dyDescent="0.25">
      <c r="A60">
        <v>29</v>
      </c>
      <c r="B60" t="s">
        <v>29</v>
      </c>
      <c r="C60">
        <v>2023</v>
      </c>
      <c r="D60" s="2">
        <v>0.30025307387703726</v>
      </c>
      <c r="E60">
        <v>0</v>
      </c>
      <c r="F60" s="2">
        <v>0.19993960337175842</v>
      </c>
      <c r="G60">
        <v>0</v>
      </c>
      <c r="H60" s="2">
        <v>0.27597805213467458</v>
      </c>
      <c r="I60">
        <v>0</v>
      </c>
    </row>
    <row r="61" spans="1:9" x14ac:dyDescent="0.25">
      <c r="A61">
        <v>30</v>
      </c>
      <c r="B61" t="s">
        <v>30</v>
      </c>
      <c r="C61">
        <v>2023</v>
      </c>
      <c r="D61" s="2">
        <v>5.4887152225051121E-16</v>
      </c>
      <c r="E61">
        <v>0</v>
      </c>
      <c r="F61" s="2">
        <v>0</v>
      </c>
      <c r="G61" s="4">
        <v>5</v>
      </c>
      <c r="H61" s="2">
        <v>0</v>
      </c>
      <c r="I61" s="4">
        <v>5</v>
      </c>
    </row>
    <row r="62" spans="1:9" x14ac:dyDescent="0.25">
      <c r="A62">
        <v>1</v>
      </c>
      <c r="B62" t="s">
        <v>1</v>
      </c>
      <c r="C62">
        <v>2024</v>
      </c>
      <c r="D62" s="2">
        <v>0</v>
      </c>
      <c r="E62">
        <v>0</v>
      </c>
      <c r="F62" s="2">
        <v>0</v>
      </c>
      <c r="G62" s="4">
        <v>5</v>
      </c>
      <c r="H62" s="2">
        <v>0</v>
      </c>
      <c r="I62" s="4">
        <v>5</v>
      </c>
    </row>
    <row r="63" spans="1:9" x14ac:dyDescent="0.25">
      <c r="A63">
        <v>2</v>
      </c>
      <c r="B63" t="s">
        <v>2</v>
      </c>
      <c r="C63">
        <v>2024</v>
      </c>
      <c r="D63" s="2">
        <v>0.1060217200717288</v>
      </c>
      <c r="E63">
        <v>0</v>
      </c>
      <c r="F63" s="2">
        <v>0.35990661732886381</v>
      </c>
      <c r="G63">
        <v>0</v>
      </c>
      <c r="H63" s="2">
        <v>7.3354520072226773E-2</v>
      </c>
      <c r="I63">
        <v>0</v>
      </c>
    </row>
    <row r="64" spans="1:9" x14ac:dyDescent="0.25">
      <c r="A64">
        <v>3</v>
      </c>
      <c r="B64" t="s">
        <v>3</v>
      </c>
      <c r="C64">
        <v>2024</v>
      </c>
      <c r="D64" s="2">
        <v>0</v>
      </c>
      <c r="E64">
        <v>0</v>
      </c>
      <c r="F64" s="2">
        <v>0</v>
      </c>
      <c r="G64" s="4">
        <v>5</v>
      </c>
      <c r="H64" s="2">
        <v>0.20183443992549255</v>
      </c>
      <c r="I64">
        <v>0</v>
      </c>
    </row>
    <row r="65" spans="1:9" x14ac:dyDescent="0.25">
      <c r="A65">
        <v>4</v>
      </c>
      <c r="B65" t="s">
        <v>4</v>
      </c>
      <c r="C65">
        <v>2024</v>
      </c>
      <c r="D65" s="2">
        <v>0</v>
      </c>
      <c r="E65">
        <v>0</v>
      </c>
      <c r="F65" s="2">
        <v>0.2640771397298099</v>
      </c>
      <c r="G65">
        <v>0</v>
      </c>
      <c r="H65" s="2">
        <v>0</v>
      </c>
      <c r="I65" s="4">
        <v>5</v>
      </c>
    </row>
    <row r="66" spans="1:9" x14ac:dyDescent="0.25">
      <c r="A66">
        <v>5</v>
      </c>
      <c r="B66" t="s">
        <v>5</v>
      </c>
      <c r="C66">
        <v>2024</v>
      </c>
      <c r="D66" s="2">
        <v>0</v>
      </c>
      <c r="E66">
        <v>0</v>
      </c>
      <c r="F66" s="2">
        <v>0</v>
      </c>
      <c r="G66" s="4">
        <v>5</v>
      </c>
      <c r="H66" s="2">
        <v>0</v>
      </c>
      <c r="I66" s="4">
        <v>5</v>
      </c>
    </row>
    <row r="67" spans="1:9" x14ac:dyDescent="0.25">
      <c r="A67">
        <v>6</v>
      </c>
      <c r="B67" t="s">
        <v>6</v>
      </c>
      <c r="C67">
        <v>2024</v>
      </c>
      <c r="D67" s="2">
        <v>0.38786903209976203</v>
      </c>
      <c r="E67">
        <v>0</v>
      </c>
      <c r="F67" s="2">
        <v>0.41570446443247067</v>
      </c>
      <c r="G67">
        <v>0</v>
      </c>
      <c r="H67" s="2">
        <v>0.34355272738294534</v>
      </c>
      <c r="I67">
        <v>0</v>
      </c>
    </row>
    <row r="68" spans="1:9" x14ac:dyDescent="0.25">
      <c r="A68">
        <v>7</v>
      </c>
      <c r="B68" t="s">
        <v>7</v>
      </c>
      <c r="C68">
        <v>2024</v>
      </c>
      <c r="D68" s="2">
        <v>0.69595669829243423</v>
      </c>
      <c r="E68">
        <v>0</v>
      </c>
      <c r="F68" s="2">
        <v>0.82337763409204079</v>
      </c>
      <c r="G68">
        <v>0</v>
      </c>
      <c r="H68" s="2">
        <v>0.60528001597430847</v>
      </c>
      <c r="I68">
        <v>0</v>
      </c>
    </row>
    <row r="69" spans="1:9" x14ac:dyDescent="0.25">
      <c r="A69">
        <v>8</v>
      </c>
      <c r="B69" t="s">
        <v>8</v>
      </c>
      <c r="C69">
        <v>2024</v>
      </c>
      <c r="D69" s="2">
        <v>0.60908851331734692</v>
      </c>
      <c r="E69">
        <v>0</v>
      </c>
      <c r="F69" s="2">
        <v>0.61986798476248384</v>
      </c>
      <c r="G69">
        <v>0</v>
      </c>
      <c r="H69" s="2">
        <v>0.38643601160892821</v>
      </c>
      <c r="I69">
        <v>0</v>
      </c>
    </row>
    <row r="70" spans="1:9" x14ac:dyDescent="0.25">
      <c r="A70">
        <v>9</v>
      </c>
      <c r="B70" t="s">
        <v>9</v>
      </c>
      <c r="C70">
        <v>2024</v>
      </c>
      <c r="D70" s="2">
        <v>-1.5543122344752192E-15</v>
      </c>
      <c r="E70">
        <v>0</v>
      </c>
      <c r="F70" s="2">
        <v>9.302065992135515E-2</v>
      </c>
      <c r="G70">
        <v>0</v>
      </c>
      <c r="H70" s="2">
        <v>0</v>
      </c>
      <c r="I70" s="4">
        <v>5</v>
      </c>
    </row>
    <row r="71" spans="1:9" x14ac:dyDescent="0.25">
      <c r="A71">
        <v>10</v>
      </c>
      <c r="B71" t="s">
        <v>10</v>
      </c>
      <c r="C71">
        <v>2024</v>
      </c>
      <c r="D71" s="2">
        <v>-3.0531133177191805E-16</v>
      </c>
      <c r="E71">
        <v>0</v>
      </c>
      <c r="F71" s="2">
        <v>0</v>
      </c>
      <c r="G71" s="4">
        <v>5</v>
      </c>
      <c r="H71" s="2">
        <v>-0.18044952978696818</v>
      </c>
      <c r="I71">
        <v>0</v>
      </c>
    </row>
    <row r="72" spans="1:9" x14ac:dyDescent="0.25">
      <c r="A72">
        <v>11</v>
      </c>
      <c r="B72" t="s">
        <v>11</v>
      </c>
      <c r="C72">
        <v>2024</v>
      </c>
      <c r="D72" s="2">
        <v>-1.8819829562864599E-15</v>
      </c>
      <c r="E72">
        <v>0</v>
      </c>
      <c r="F72" s="2">
        <v>0</v>
      </c>
      <c r="G72" s="4">
        <v>5</v>
      </c>
      <c r="H72" s="2">
        <v>-0.1034940689822188</v>
      </c>
      <c r="I72">
        <v>0</v>
      </c>
    </row>
    <row r="73" spans="1:9" x14ac:dyDescent="0.25">
      <c r="A73">
        <v>12</v>
      </c>
      <c r="B73" t="s">
        <v>12</v>
      </c>
      <c r="C73">
        <v>2024</v>
      </c>
      <c r="D73" s="2">
        <v>-1.6653345369377348E-15</v>
      </c>
      <c r="E73">
        <v>0</v>
      </c>
      <c r="F73" s="2">
        <v>0</v>
      </c>
      <c r="G73" s="4">
        <v>5</v>
      </c>
      <c r="H73" s="2">
        <v>0</v>
      </c>
      <c r="I73" s="4">
        <v>5</v>
      </c>
    </row>
    <row r="74" spans="1:9" x14ac:dyDescent="0.25">
      <c r="A74">
        <v>13</v>
      </c>
      <c r="B74" t="s">
        <v>13</v>
      </c>
      <c r="C74">
        <v>2024</v>
      </c>
      <c r="D74" s="2">
        <v>-1.3877787807814457E-15</v>
      </c>
      <c r="E74">
        <v>0</v>
      </c>
      <c r="F74" s="2">
        <v>-1.3840176127416365E-2</v>
      </c>
      <c r="G74">
        <v>0</v>
      </c>
      <c r="H74" s="2">
        <v>-0.22663021742018311</v>
      </c>
      <c r="I74">
        <v>0</v>
      </c>
    </row>
    <row r="75" spans="1:9" x14ac:dyDescent="0.25">
      <c r="A75">
        <v>14</v>
      </c>
      <c r="B75" t="s">
        <v>14</v>
      </c>
      <c r="C75">
        <v>2024</v>
      </c>
      <c r="D75" s="2">
        <v>0.35010390411574144</v>
      </c>
      <c r="E75">
        <v>0</v>
      </c>
      <c r="F75" s="2">
        <v>0.41655712930712435</v>
      </c>
      <c r="G75">
        <v>0</v>
      </c>
      <c r="H75" s="2">
        <v>0.36787379963179667</v>
      </c>
      <c r="I75">
        <v>0</v>
      </c>
    </row>
    <row r="76" spans="1:9" x14ac:dyDescent="0.25">
      <c r="A76">
        <v>15</v>
      </c>
      <c r="B76" t="s">
        <v>15</v>
      </c>
      <c r="C76">
        <v>2024</v>
      </c>
      <c r="D76" s="2">
        <v>-2.55351295663786E-15</v>
      </c>
      <c r="E76">
        <v>0</v>
      </c>
      <c r="F76" s="2">
        <v>0</v>
      </c>
      <c r="G76" s="4">
        <v>5</v>
      </c>
      <c r="H76" s="2">
        <v>-2.588178110755017E-2</v>
      </c>
      <c r="I76">
        <v>0</v>
      </c>
    </row>
    <row r="77" spans="1:9" x14ac:dyDescent="0.25">
      <c r="A77">
        <v>16</v>
      </c>
      <c r="B77" t="s">
        <v>16</v>
      </c>
      <c r="C77">
        <v>2024</v>
      </c>
      <c r="D77" s="2">
        <v>0.1310700283954811</v>
      </c>
      <c r="E77">
        <v>0</v>
      </c>
      <c r="F77" s="2">
        <v>0.30549371739320857</v>
      </c>
      <c r="G77">
        <v>0</v>
      </c>
      <c r="H77" s="2">
        <v>0</v>
      </c>
      <c r="I77" s="4">
        <v>5</v>
      </c>
    </row>
    <row r="78" spans="1:9" x14ac:dyDescent="0.25">
      <c r="A78">
        <v>17</v>
      </c>
      <c r="B78" t="s">
        <v>17</v>
      </c>
      <c r="C78">
        <v>2024</v>
      </c>
      <c r="D78" s="2">
        <v>0.25395246700172863</v>
      </c>
      <c r="E78">
        <v>0</v>
      </c>
      <c r="F78" s="2">
        <v>0.22286091328133786</v>
      </c>
      <c r="G78">
        <v>0</v>
      </c>
      <c r="H78" s="2">
        <v>0.22242011144201862</v>
      </c>
      <c r="I78">
        <v>0</v>
      </c>
    </row>
    <row r="79" spans="1:9" x14ac:dyDescent="0.25">
      <c r="A79">
        <v>18</v>
      </c>
      <c r="B79" t="s">
        <v>18</v>
      </c>
      <c r="C79">
        <v>2024</v>
      </c>
      <c r="D79" s="2">
        <v>0.29540043134538618</v>
      </c>
      <c r="E79">
        <v>0</v>
      </c>
      <c r="F79" s="2">
        <v>0.30055946758839719</v>
      </c>
      <c r="G79">
        <v>0</v>
      </c>
      <c r="H79" s="2">
        <v>0.30569753988628845</v>
      </c>
      <c r="I79">
        <v>0</v>
      </c>
    </row>
    <row r="80" spans="1:9" x14ac:dyDescent="0.25">
      <c r="A80">
        <v>19</v>
      </c>
      <c r="B80" t="s">
        <v>19</v>
      </c>
      <c r="C80">
        <v>2024</v>
      </c>
      <c r="D80" s="2">
        <v>-2.5335508314085255E-15</v>
      </c>
      <c r="E80">
        <v>0</v>
      </c>
      <c r="F80" s="2">
        <v>0</v>
      </c>
      <c r="G80" s="4">
        <v>5</v>
      </c>
      <c r="H80" s="2">
        <v>-5.3806578633169649E-2</v>
      </c>
      <c r="I80">
        <v>0</v>
      </c>
    </row>
    <row r="81" spans="1:9" x14ac:dyDescent="0.25">
      <c r="A81">
        <v>20</v>
      </c>
      <c r="B81" t="s">
        <v>20</v>
      </c>
      <c r="C81">
        <v>2024</v>
      </c>
      <c r="D81" s="2">
        <v>-2.8247732220393496E-15</v>
      </c>
      <c r="E81">
        <v>0</v>
      </c>
      <c r="F81" s="2">
        <v>0</v>
      </c>
      <c r="G81" s="4">
        <v>5</v>
      </c>
      <c r="H81" s="2">
        <v>-3.3624750364073384E-2</v>
      </c>
      <c r="I81">
        <v>0</v>
      </c>
    </row>
    <row r="82" spans="1:9" x14ac:dyDescent="0.25">
      <c r="A82">
        <v>21</v>
      </c>
      <c r="B82" t="s">
        <v>21</v>
      </c>
      <c r="C82">
        <v>2024</v>
      </c>
      <c r="D82" s="2">
        <v>-4.9960036108132044E-15</v>
      </c>
      <c r="E82">
        <v>0</v>
      </c>
      <c r="F82" s="2">
        <v>0</v>
      </c>
      <c r="G82" s="4">
        <v>5</v>
      </c>
      <c r="H82" s="2">
        <v>0</v>
      </c>
      <c r="I82" s="4">
        <v>5</v>
      </c>
    </row>
    <row r="83" spans="1:9" x14ac:dyDescent="0.25">
      <c r="A83">
        <v>22</v>
      </c>
      <c r="B83" t="s">
        <v>22</v>
      </c>
      <c r="C83">
        <v>2024</v>
      </c>
      <c r="D83" s="2">
        <v>-4.1992930259546652E-15</v>
      </c>
      <c r="E83">
        <v>0</v>
      </c>
      <c r="F83" s="2">
        <v>0</v>
      </c>
      <c r="G83" s="4">
        <v>5</v>
      </c>
      <c r="H83" s="2">
        <v>0</v>
      </c>
      <c r="I83" s="4">
        <v>5</v>
      </c>
    </row>
    <row r="84" spans="1:9" x14ac:dyDescent="0.25">
      <c r="A84">
        <v>23</v>
      </c>
      <c r="B84" t="s">
        <v>23</v>
      </c>
      <c r="C84">
        <v>2024</v>
      </c>
      <c r="D84" s="2">
        <v>-1.9984014443252818E-15</v>
      </c>
      <c r="E84">
        <v>0</v>
      </c>
      <c r="F84" s="2">
        <v>0</v>
      </c>
      <c r="G84" s="4">
        <v>5</v>
      </c>
      <c r="H84" s="2">
        <v>0</v>
      </c>
      <c r="I84" s="4">
        <v>5</v>
      </c>
    </row>
    <row r="85" spans="1:9" x14ac:dyDescent="0.25">
      <c r="A85">
        <v>24</v>
      </c>
      <c r="B85" t="s">
        <v>24</v>
      </c>
      <c r="C85">
        <v>2024</v>
      </c>
      <c r="D85" s="2">
        <v>0.28518320670567765</v>
      </c>
      <c r="E85">
        <v>0</v>
      </c>
      <c r="F85" s="2">
        <v>0.50451203761300234</v>
      </c>
      <c r="G85">
        <v>0</v>
      </c>
      <c r="H85" s="2">
        <v>0</v>
      </c>
      <c r="I85" s="4">
        <v>5</v>
      </c>
    </row>
    <row r="86" spans="1:9" x14ac:dyDescent="0.25">
      <c r="A86">
        <v>25</v>
      </c>
      <c r="B86" t="s">
        <v>25</v>
      </c>
      <c r="C86">
        <v>2024</v>
      </c>
      <c r="D86" s="2">
        <v>-5.773159728050814E-15</v>
      </c>
      <c r="E86">
        <v>0</v>
      </c>
      <c r="F86" s="2">
        <v>0</v>
      </c>
      <c r="G86" s="4">
        <v>5</v>
      </c>
      <c r="H86" s="2">
        <v>1.8624042573038306E-3</v>
      </c>
      <c r="I86">
        <v>0</v>
      </c>
    </row>
    <row r="87" spans="1:9" x14ac:dyDescent="0.25">
      <c r="A87">
        <v>26</v>
      </c>
      <c r="B87" t="s">
        <v>26</v>
      </c>
      <c r="C87">
        <v>2024</v>
      </c>
      <c r="D87" s="2">
        <v>0.34253595597877795</v>
      </c>
      <c r="E87">
        <v>0</v>
      </c>
      <c r="F87" s="2">
        <v>0.2981407091096181</v>
      </c>
      <c r="G87">
        <v>0</v>
      </c>
      <c r="H87" s="2">
        <v>0.28548259390823044</v>
      </c>
      <c r="I87">
        <v>0</v>
      </c>
    </row>
    <row r="88" spans="1:9" x14ac:dyDescent="0.25">
      <c r="A88">
        <v>27</v>
      </c>
      <c r="B88" t="s">
        <v>27</v>
      </c>
      <c r="C88">
        <v>2024</v>
      </c>
      <c r="D88" s="2">
        <v>0.70801133222444324</v>
      </c>
      <c r="E88">
        <v>0</v>
      </c>
      <c r="F88" s="2">
        <v>0</v>
      </c>
      <c r="G88" s="4">
        <v>5</v>
      </c>
      <c r="H88" s="2">
        <v>0.63070282105270092</v>
      </c>
      <c r="I88">
        <v>0</v>
      </c>
    </row>
    <row r="89" spans="1:9" x14ac:dyDescent="0.25">
      <c r="A89">
        <v>28</v>
      </c>
      <c r="B89" t="s">
        <v>28</v>
      </c>
      <c r="C89">
        <v>2024</v>
      </c>
      <c r="D89" s="2">
        <v>5.6732396558345499E-14</v>
      </c>
      <c r="E89">
        <v>0</v>
      </c>
      <c r="F89" s="2">
        <v>0</v>
      </c>
      <c r="G89" s="4">
        <v>5</v>
      </c>
      <c r="H89" s="2">
        <v>0</v>
      </c>
      <c r="I89" s="4">
        <v>5</v>
      </c>
    </row>
    <row r="90" spans="1:9" x14ac:dyDescent="0.25">
      <c r="A90">
        <v>29</v>
      </c>
      <c r="B90" t="s">
        <v>29</v>
      </c>
      <c r="C90">
        <v>2024</v>
      </c>
      <c r="D90" s="2">
        <v>-1.6539049839768332E-15</v>
      </c>
      <c r="E90">
        <v>0</v>
      </c>
      <c r="F90" s="2">
        <v>0</v>
      </c>
      <c r="G90" s="4">
        <v>5</v>
      </c>
      <c r="H90" s="2">
        <v>0</v>
      </c>
      <c r="I90" s="4">
        <v>5</v>
      </c>
    </row>
    <row r="91" spans="1:9" x14ac:dyDescent="0.25">
      <c r="A91">
        <v>30</v>
      </c>
      <c r="B91" t="s">
        <v>30</v>
      </c>
      <c r="C91">
        <v>2024</v>
      </c>
      <c r="D91" s="2">
        <v>-1.4432899320127035E-15</v>
      </c>
      <c r="E91">
        <v>0</v>
      </c>
      <c r="F91" s="2">
        <v>0</v>
      </c>
      <c r="G91" s="4">
        <v>5</v>
      </c>
      <c r="H91" s="2">
        <v>0.13971118999986473</v>
      </c>
      <c r="I91">
        <v>0</v>
      </c>
    </row>
    <row r="92" spans="1:9" x14ac:dyDescent="0.25">
      <c r="A92">
        <v>1</v>
      </c>
      <c r="B92" t="s">
        <v>1</v>
      </c>
      <c r="C92">
        <v>2025</v>
      </c>
      <c r="D92" s="2">
        <v>-2.2204460492503131E-16</v>
      </c>
      <c r="E92">
        <v>0</v>
      </c>
    </row>
    <row r="93" spans="1:9" x14ac:dyDescent="0.25">
      <c r="A93">
        <v>2</v>
      </c>
      <c r="B93" t="s">
        <v>2</v>
      </c>
      <c r="C93">
        <v>2025</v>
      </c>
      <c r="D93" s="2">
        <v>0.41998529132600398</v>
      </c>
      <c r="E93">
        <v>0</v>
      </c>
    </row>
    <row r="94" spans="1:9" x14ac:dyDescent="0.25">
      <c r="A94">
        <v>3</v>
      </c>
      <c r="B94" t="s">
        <v>3</v>
      </c>
      <c r="C94">
        <v>2025</v>
      </c>
      <c r="D94" s="2">
        <v>0.15665850237730028</v>
      </c>
      <c r="E94">
        <v>0</v>
      </c>
    </row>
    <row r="95" spans="1:9" x14ac:dyDescent="0.25">
      <c r="A95">
        <v>4</v>
      </c>
      <c r="B95" t="s">
        <v>4</v>
      </c>
      <c r="C95">
        <v>2025</v>
      </c>
      <c r="D95" s="2">
        <v>0.16906450833420203</v>
      </c>
      <c r="E95">
        <v>0</v>
      </c>
    </row>
    <row r="96" spans="1:9" x14ac:dyDescent="0.25">
      <c r="A96">
        <v>5</v>
      </c>
      <c r="B96" t="s">
        <v>5</v>
      </c>
      <c r="C96">
        <v>2025</v>
      </c>
      <c r="D96" s="2">
        <v>-2.2204460492503131E-16</v>
      </c>
      <c r="E96">
        <v>0</v>
      </c>
    </row>
    <row r="97" spans="1:5" x14ac:dyDescent="0.25">
      <c r="A97">
        <v>6</v>
      </c>
      <c r="B97" t="s">
        <v>6</v>
      </c>
      <c r="C97">
        <v>2025</v>
      </c>
      <c r="D97" s="2">
        <v>0.34882503679690485</v>
      </c>
      <c r="E97">
        <v>0</v>
      </c>
    </row>
    <row r="98" spans="1:5" x14ac:dyDescent="0.25">
      <c r="A98">
        <v>7</v>
      </c>
      <c r="B98" t="s">
        <v>7</v>
      </c>
      <c r="C98">
        <v>2025</v>
      </c>
      <c r="D98" s="2">
        <v>1.0645683897285373E-14</v>
      </c>
      <c r="E98">
        <v>0</v>
      </c>
    </row>
    <row r="99" spans="1:5" x14ac:dyDescent="0.25">
      <c r="A99">
        <v>8</v>
      </c>
      <c r="B99" t="s">
        <v>8</v>
      </c>
      <c r="C99">
        <v>2025</v>
      </c>
      <c r="D99" s="2">
        <v>0.53612599664147198</v>
      </c>
      <c r="E99">
        <v>0</v>
      </c>
    </row>
    <row r="100" spans="1:5" x14ac:dyDescent="0.25">
      <c r="A100">
        <v>9</v>
      </c>
      <c r="B100" t="s">
        <v>9</v>
      </c>
      <c r="C100">
        <v>2025</v>
      </c>
      <c r="D100" s="2">
        <v>-1.7565412461596677E-14</v>
      </c>
      <c r="E100">
        <v>0</v>
      </c>
    </row>
    <row r="101" spans="1:5" x14ac:dyDescent="0.25">
      <c r="A101">
        <v>10</v>
      </c>
      <c r="B101" t="s">
        <v>10</v>
      </c>
      <c r="C101">
        <v>2025</v>
      </c>
      <c r="D101" s="2">
        <v>-3.3306690738754696E-15</v>
      </c>
      <c r="E101">
        <v>0</v>
      </c>
    </row>
    <row r="102" spans="1:5" x14ac:dyDescent="0.25">
      <c r="A102">
        <v>11</v>
      </c>
      <c r="B102" t="s">
        <v>11</v>
      </c>
      <c r="C102">
        <v>2025</v>
      </c>
      <c r="D102" s="2">
        <v>-3.2388373410491164E-15</v>
      </c>
      <c r="E102">
        <v>0</v>
      </c>
    </row>
    <row r="103" spans="1:5" x14ac:dyDescent="0.25">
      <c r="A103">
        <v>12</v>
      </c>
      <c r="B103" t="s">
        <v>12</v>
      </c>
      <c r="C103">
        <v>2025</v>
      </c>
      <c r="D103" s="2">
        <v>-2.5838041969003394E-15</v>
      </c>
      <c r="E103">
        <v>0</v>
      </c>
    </row>
    <row r="104" spans="1:5" x14ac:dyDescent="0.25">
      <c r="A104">
        <v>13</v>
      </c>
      <c r="B104" t="s">
        <v>13</v>
      </c>
      <c r="C104">
        <v>2025</v>
      </c>
      <c r="D104" s="2">
        <v>-1.0547118733938987E-15</v>
      </c>
      <c r="E104">
        <v>0</v>
      </c>
    </row>
    <row r="105" spans="1:5" x14ac:dyDescent="0.25">
      <c r="A105">
        <v>14</v>
      </c>
      <c r="B105" t="s">
        <v>14</v>
      </c>
      <c r="C105">
        <v>2025</v>
      </c>
      <c r="D105" s="2">
        <v>0.43220184610964396</v>
      </c>
      <c r="E105">
        <v>0</v>
      </c>
    </row>
    <row r="106" spans="1:5" x14ac:dyDescent="0.25">
      <c r="A106">
        <v>15</v>
      </c>
      <c r="B106" t="s">
        <v>15</v>
      </c>
      <c r="C106">
        <v>2025</v>
      </c>
      <c r="D106" s="2">
        <v>3.7344992809888768E-2</v>
      </c>
      <c r="E106">
        <v>0</v>
      </c>
    </row>
    <row r="107" spans="1:5" x14ac:dyDescent="0.25">
      <c r="A107">
        <v>16</v>
      </c>
      <c r="B107" t="s">
        <v>16</v>
      </c>
      <c r="C107">
        <v>2025</v>
      </c>
      <c r="D107" s="2">
        <v>0.21727375636115162</v>
      </c>
      <c r="E107">
        <v>0</v>
      </c>
    </row>
    <row r="108" spans="1:5" x14ac:dyDescent="0.25">
      <c r="A108">
        <v>17</v>
      </c>
      <c r="B108" t="s">
        <v>17</v>
      </c>
      <c r="C108">
        <v>2025</v>
      </c>
      <c r="D108" s="2">
        <v>0.2297376389082495</v>
      </c>
      <c r="E108">
        <v>0</v>
      </c>
    </row>
    <row r="109" spans="1:5" x14ac:dyDescent="0.25">
      <c r="A109">
        <v>18</v>
      </c>
      <c r="B109" t="s">
        <v>18</v>
      </c>
      <c r="C109">
        <v>2025</v>
      </c>
      <c r="D109" s="2">
        <v>0.30739236264203013</v>
      </c>
      <c r="E109">
        <v>0</v>
      </c>
    </row>
    <row r="110" spans="1:5" x14ac:dyDescent="0.25">
      <c r="A110">
        <v>19</v>
      </c>
      <c r="B110" t="s">
        <v>19</v>
      </c>
      <c r="C110">
        <v>2025</v>
      </c>
      <c r="D110" s="2">
        <v>-3.2136382897866461E-16</v>
      </c>
      <c r="E110">
        <v>0</v>
      </c>
    </row>
    <row r="111" spans="1:5" x14ac:dyDescent="0.25">
      <c r="A111">
        <v>20</v>
      </c>
      <c r="B111" t="s">
        <v>20</v>
      </c>
      <c r="C111">
        <v>2025</v>
      </c>
      <c r="D111" s="2">
        <v>-2.1094237467877974E-15</v>
      </c>
      <c r="E111">
        <v>0</v>
      </c>
    </row>
    <row r="112" spans="1:5" x14ac:dyDescent="0.25">
      <c r="A112">
        <v>21</v>
      </c>
      <c r="B112" t="s">
        <v>21</v>
      </c>
      <c r="C112">
        <v>2025</v>
      </c>
      <c r="D112" s="2">
        <v>6.5503158452884236E-15</v>
      </c>
      <c r="E112">
        <v>0</v>
      </c>
    </row>
    <row r="113" spans="1:5" x14ac:dyDescent="0.25">
      <c r="A113">
        <v>22</v>
      </c>
      <c r="B113" t="s">
        <v>22</v>
      </c>
      <c r="C113">
        <v>2025</v>
      </c>
      <c r="D113" s="2">
        <v>-7.3190297622250029E-17</v>
      </c>
      <c r="E113">
        <v>0</v>
      </c>
    </row>
    <row r="114" spans="1:5" x14ac:dyDescent="0.25">
      <c r="A114">
        <v>23</v>
      </c>
      <c r="B114" t="s">
        <v>23</v>
      </c>
      <c r="C114">
        <v>2025</v>
      </c>
      <c r="D114" s="2">
        <v>-5.790288384185449E-15</v>
      </c>
      <c r="E114">
        <v>0</v>
      </c>
    </row>
    <row r="115" spans="1:5" x14ac:dyDescent="0.25">
      <c r="A115">
        <v>24</v>
      </c>
      <c r="B115" t="s">
        <v>24</v>
      </c>
      <c r="C115">
        <v>2025</v>
      </c>
      <c r="D115" s="2">
        <v>0.42700499523842356</v>
      </c>
      <c r="E115">
        <v>0</v>
      </c>
    </row>
    <row r="116" spans="1:5" x14ac:dyDescent="0.25">
      <c r="A116">
        <v>25</v>
      </c>
      <c r="B116" t="s">
        <v>25</v>
      </c>
      <c r="C116">
        <v>2025</v>
      </c>
      <c r="D116" s="2">
        <v>-1.0881813411926548E-14</v>
      </c>
      <c r="E116">
        <v>0</v>
      </c>
    </row>
    <row r="117" spans="1:5" x14ac:dyDescent="0.25">
      <c r="A117">
        <v>26</v>
      </c>
      <c r="B117" t="s">
        <v>26</v>
      </c>
      <c r="C117">
        <v>2025</v>
      </c>
      <c r="D117" s="2">
        <v>0.13619274881923882</v>
      </c>
      <c r="E117">
        <v>0</v>
      </c>
    </row>
    <row r="118" spans="1:5" x14ac:dyDescent="0.25">
      <c r="A118">
        <v>27</v>
      </c>
      <c r="B118" t="s">
        <v>27</v>
      </c>
      <c r="C118">
        <v>2025</v>
      </c>
      <c r="D118" s="2">
        <v>0.4023292965675081</v>
      </c>
      <c r="E118">
        <v>0</v>
      </c>
    </row>
    <row r="119" spans="1:5" x14ac:dyDescent="0.25">
      <c r="A119">
        <v>28</v>
      </c>
      <c r="B119" t="s">
        <v>28</v>
      </c>
      <c r="C119">
        <v>2025</v>
      </c>
      <c r="D119" s="2">
        <v>-1.8381620778022598E-14</v>
      </c>
      <c r="E119">
        <v>0</v>
      </c>
    </row>
    <row r="120" spans="1:5" x14ac:dyDescent="0.25">
      <c r="A120">
        <v>29</v>
      </c>
      <c r="B120" t="s">
        <v>29</v>
      </c>
      <c r="C120">
        <v>2025</v>
      </c>
      <c r="D120" s="2">
        <v>0.46376305667207957</v>
      </c>
      <c r="E120">
        <v>0</v>
      </c>
    </row>
    <row r="121" spans="1:5" x14ac:dyDescent="0.25">
      <c r="A121">
        <v>30</v>
      </c>
      <c r="B121" t="s">
        <v>30</v>
      </c>
      <c r="C121">
        <v>2025</v>
      </c>
      <c r="D121" s="2">
        <v>-1.8708974470777095E-15</v>
      </c>
      <c r="E121">
        <v>0</v>
      </c>
    </row>
  </sheetData>
  <autoFilter ref="A1:I121" xr:uid="{D4FD017B-C75C-4D8F-932A-DA784E62A2F6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3866-04C0-4C88-AF0E-CEE70AA9286C}">
  <dimension ref="A1:AF61"/>
  <sheetViews>
    <sheetView tabSelected="1" zoomScale="175" zoomScaleNormal="175" workbookViewId="0">
      <selection activeCell="E16" sqref="E16"/>
    </sheetView>
  </sheetViews>
  <sheetFormatPr defaultRowHeight="14.4" x14ac:dyDescent="0.25"/>
  <cols>
    <col min="1" max="1" width="12.77734375" bestFit="1" customWidth="1"/>
    <col min="2" max="2" width="12.5546875" bestFit="1" customWidth="1"/>
    <col min="3" max="3" width="9.6640625" bestFit="1" customWidth="1"/>
    <col min="4" max="9" width="10.6640625" bestFit="1" customWidth="1"/>
    <col min="10" max="10" width="10.5546875" bestFit="1" customWidth="1"/>
    <col min="11" max="18" width="10.6640625" bestFit="1" customWidth="1"/>
    <col min="19" max="19" width="9.6640625" bestFit="1" customWidth="1"/>
    <col min="20" max="20" width="10.6640625" bestFit="1" customWidth="1"/>
    <col min="21" max="21" width="9.6640625" bestFit="1" customWidth="1"/>
    <col min="22" max="25" width="10.6640625" bestFit="1" customWidth="1"/>
    <col min="26" max="26" width="9.6640625" bestFit="1" customWidth="1"/>
    <col min="27" max="27" width="10.6640625" bestFit="1" customWidth="1"/>
    <col min="28" max="28" width="9.6640625" bestFit="1" customWidth="1"/>
    <col min="29" max="31" width="10.6640625" bestFit="1" customWidth="1"/>
    <col min="32" max="32" width="16" customWidth="1"/>
  </cols>
  <sheetData>
    <row r="1" spans="1:32" x14ac:dyDescent="0.25">
      <c r="A1" s="1" t="s">
        <v>31</v>
      </c>
      <c r="B1" t="s">
        <v>12</v>
      </c>
      <c r="C1" t="s">
        <v>1</v>
      </c>
      <c r="D1" t="s">
        <v>13</v>
      </c>
      <c r="E1" t="s">
        <v>27</v>
      </c>
      <c r="F1" t="s">
        <v>19</v>
      </c>
      <c r="G1" t="s">
        <v>20</v>
      </c>
      <c r="H1" t="s">
        <v>24</v>
      </c>
      <c r="I1" t="s">
        <v>21</v>
      </c>
      <c r="J1" t="s">
        <v>3</v>
      </c>
      <c r="K1" t="s">
        <v>16</v>
      </c>
      <c r="L1" t="s">
        <v>8</v>
      </c>
      <c r="M1" t="s">
        <v>17</v>
      </c>
      <c r="N1" t="s">
        <v>18</v>
      </c>
      <c r="O1" t="s">
        <v>7</v>
      </c>
      <c r="P1" t="s">
        <v>10</v>
      </c>
      <c r="Q1" t="s">
        <v>14</v>
      </c>
      <c r="R1" t="s">
        <v>6</v>
      </c>
      <c r="S1" t="s">
        <v>5</v>
      </c>
      <c r="T1" t="s">
        <v>29</v>
      </c>
      <c r="U1" t="s">
        <v>28</v>
      </c>
      <c r="V1" t="s">
        <v>15</v>
      </c>
      <c r="W1" t="s">
        <v>4</v>
      </c>
      <c r="X1" t="s">
        <v>26</v>
      </c>
      <c r="Y1" t="s">
        <v>9</v>
      </c>
      <c r="Z1" t="s">
        <v>23</v>
      </c>
      <c r="AA1" t="s">
        <v>2</v>
      </c>
      <c r="AB1" t="s">
        <v>30</v>
      </c>
      <c r="AC1" t="s">
        <v>25</v>
      </c>
      <c r="AD1" t="s">
        <v>11</v>
      </c>
      <c r="AE1" t="s">
        <v>22</v>
      </c>
      <c r="AF1" t="s">
        <v>37</v>
      </c>
    </row>
    <row r="2" spans="1:32" x14ac:dyDescent="0.25">
      <c r="A2">
        <v>2022</v>
      </c>
      <c r="B2">
        <v>-1.1102230246251565E-16</v>
      </c>
      <c r="C2">
        <v>0</v>
      </c>
      <c r="D2">
        <v>-2.8922912619776728E-16</v>
      </c>
      <c r="E2">
        <v>0.47419540634185109</v>
      </c>
      <c r="F2">
        <v>-2.1094237467877974E-15</v>
      </c>
      <c r="G2">
        <v>0.15934118727229174</v>
      </c>
      <c r="H2">
        <v>0.38796089215598684</v>
      </c>
      <c r="I2">
        <v>-8.8817841970012523E-16</v>
      </c>
      <c r="J2">
        <v>-2.2204460492503131E-16</v>
      </c>
      <c r="K2">
        <v>0.26512855585112205</v>
      </c>
      <c r="L2">
        <v>0.4577733874129063</v>
      </c>
      <c r="M2">
        <v>0.2096356586204848</v>
      </c>
      <c r="N2">
        <v>0.2553786716762626</v>
      </c>
      <c r="O2">
        <v>0.59540888146956172</v>
      </c>
      <c r="P2">
        <v>-1.1102230246251565E-16</v>
      </c>
      <c r="Q2">
        <v>-1.3322676295501878E-15</v>
      </c>
      <c r="R2">
        <v>0.24306843060022218</v>
      </c>
      <c r="S2">
        <v>-1.1102230246251565E-16</v>
      </c>
      <c r="T2">
        <v>0.15107834737670534</v>
      </c>
      <c r="U2">
        <v>1.8429702208777599E-14</v>
      </c>
      <c r="V2">
        <v>-1.1102230246251565E-16</v>
      </c>
      <c r="W2">
        <v>0.14603711597680602</v>
      </c>
      <c r="X2">
        <v>0.18400825027004836</v>
      </c>
      <c r="Y2">
        <v>-1.8091158449765667E-14</v>
      </c>
      <c r="Z2">
        <v>-4.4408920985006262E-16</v>
      </c>
      <c r="AA2">
        <v>0.11297180561157247</v>
      </c>
      <c r="AB2">
        <v>-6.6613381477509392E-16</v>
      </c>
      <c r="AC2">
        <v>-5.32002046500059E-15</v>
      </c>
      <c r="AD2">
        <v>0</v>
      </c>
      <c r="AE2">
        <v>-3.8709493625766434E-15</v>
      </c>
      <c r="AF2">
        <v>0.12139955302119355</v>
      </c>
    </row>
    <row r="3" spans="1:32" x14ac:dyDescent="0.25">
      <c r="A3">
        <v>2023</v>
      </c>
      <c r="B3">
        <v>-1.3322676295501878E-15</v>
      </c>
      <c r="C3">
        <v>0</v>
      </c>
      <c r="D3">
        <v>-1.6375789613221059E-15</v>
      </c>
      <c r="E3">
        <v>-1.4432899320127035E-15</v>
      </c>
      <c r="F3">
        <v>-1.675778254117614E-15</v>
      </c>
      <c r="G3">
        <v>9.5501403870970697E-2</v>
      </c>
      <c r="H3">
        <v>2.6090348757529796E-15</v>
      </c>
      <c r="I3">
        <v>-1.1592671542722696E-15</v>
      </c>
      <c r="J3">
        <v>0.17610091558333055</v>
      </c>
      <c r="K3">
        <v>0.13807294644382512</v>
      </c>
      <c r="L3">
        <v>0.38183638407790116</v>
      </c>
      <c r="M3">
        <v>-1.1524777739677544E-15</v>
      </c>
      <c r="N3">
        <v>7.5491858409827112E-2</v>
      </c>
      <c r="O3">
        <v>0.26077836714355079</v>
      </c>
      <c r="P3">
        <v>-2.7755575615628914E-16</v>
      </c>
      <c r="Q3">
        <v>0.15572938586108226</v>
      </c>
      <c r="R3">
        <v>0.31373492300656991</v>
      </c>
      <c r="S3">
        <v>0</v>
      </c>
      <c r="T3">
        <v>0.30025307387703726</v>
      </c>
      <c r="U3">
        <v>-6.3282712403633923E-15</v>
      </c>
      <c r="V3">
        <v>-2.6645352591003757E-15</v>
      </c>
      <c r="W3">
        <v>1.4223408609306366E-2</v>
      </c>
      <c r="X3">
        <v>0.24267505258960695</v>
      </c>
      <c r="Y3">
        <v>-2.2204460492503131E-15</v>
      </c>
      <c r="Z3">
        <v>-8.8817841970012523E-16</v>
      </c>
      <c r="AA3">
        <v>8.7879178121185786E-2</v>
      </c>
      <c r="AB3">
        <v>5.4887152225051121E-16</v>
      </c>
      <c r="AC3">
        <v>-2.2204460492503131E-16</v>
      </c>
      <c r="AD3">
        <v>-1.8041124150158794E-16</v>
      </c>
      <c r="AE3">
        <v>-1.702307188683693E-14</v>
      </c>
      <c r="AF3">
        <v>7.4742563253138647E-2</v>
      </c>
    </row>
    <row r="4" spans="1:32" x14ac:dyDescent="0.25">
      <c r="A4">
        <v>2024</v>
      </c>
      <c r="B4">
        <v>-1.6653345369377348E-15</v>
      </c>
      <c r="C4">
        <v>0</v>
      </c>
      <c r="D4">
        <v>-1.3877787807814457E-15</v>
      </c>
      <c r="E4">
        <v>0.70801133222444324</v>
      </c>
      <c r="F4">
        <v>-2.5335508314085255E-15</v>
      </c>
      <c r="G4">
        <v>-2.8247732220393496E-15</v>
      </c>
      <c r="H4">
        <v>0.28518320670567765</v>
      </c>
      <c r="I4">
        <v>-4.9960036108132044E-15</v>
      </c>
      <c r="J4">
        <v>0</v>
      </c>
      <c r="K4">
        <v>0.1310700283954811</v>
      </c>
      <c r="L4">
        <v>0.60908851331734692</v>
      </c>
      <c r="M4">
        <v>0.25395246700172863</v>
      </c>
      <c r="N4">
        <v>0.29540043134538618</v>
      </c>
      <c r="O4">
        <v>0.69595669829243423</v>
      </c>
      <c r="P4">
        <v>-3.0531133177191805E-16</v>
      </c>
      <c r="Q4">
        <v>0.35010390411574144</v>
      </c>
      <c r="R4">
        <v>0.38786903209976203</v>
      </c>
      <c r="S4">
        <v>0</v>
      </c>
      <c r="T4">
        <v>-1.6539049839768332E-15</v>
      </c>
      <c r="U4">
        <v>5.6732396558345499E-14</v>
      </c>
      <c r="V4">
        <v>-2.55351295663786E-15</v>
      </c>
      <c r="W4">
        <v>0</v>
      </c>
      <c r="X4">
        <v>0.34253595597877795</v>
      </c>
      <c r="Y4">
        <v>-1.5543122344752192E-15</v>
      </c>
      <c r="Z4">
        <v>-1.9984014443252818E-15</v>
      </c>
      <c r="AA4">
        <v>0.1060217200717288</v>
      </c>
      <c r="AB4">
        <v>-1.4432899320127035E-15</v>
      </c>
      <c r="AC4">
        <v>-5.773159728050814E-15</v>
      </c>
      <c r="AD4">
        <v>-1.8819829562864599E-15</v>
      </c>
      <c r="AE4">
        <v>-4.1992930259546652E-15</v>
      </c>
      <c r="AF4">
        <v>0.13883977631828429</v>
      </c>
    </row>
    <row r="5" spans="1:32" x14ac:dyDescent="0.25">
      <c r="A5">
        <v>2025</v>
      </c>
      <c r="B5">
        <v>-2.5838041969003394E-15</v>
      </c>
      <c r="C5">
        <v>-2.2204460492503131E-16</v>
      </c>
      <c r="D5">
        <v>-1.0547118733938987E-15</v>
      </c>
      <c r="E5">
        <v>0.4023292965675081</v>
      </c>
      <c r="F5">
        <v>-3.2136382897866461E-16</v>
      </c>
      <c r="G5">
        <v>-2.1094237467877974E-15</v>
      </c>
      <c r="H5">
        <v>0.42700499523842356</v>
      </c>
      <c r="I5">
        <v>6.5503158452884236E-15</v>
      </c>
      <c r="J5">
        <v>0.15665850237730028</v>
      </c>
      <c r="K5">
        <v>0.21727375636115162</v>
      </c>
      <c r="L5">
        <v>0.53612599664147198</v>
      </c>
      <c r="M5">
        <v>0.2297376389082495</v>
      </c>
      <c r="N5">
        <v>0.30739236264203013</v>
      </c>
      <c r="O5">
        <v>1.0645683897285373E-14</v>
      </c>
      <c r="P5">
        <v>-3.3306690738754696E-15</v>
      </c>
      <c r="Q5">
        <v>0.43220184610964396</v>
      </c>
      <c r="R5">
        <v>0.34882503679690485</v>
      </c>
      <c r="S5">
        <v>-2.2204460492503131E-16</v>
      </c>
      <c r="T5">
        <v>0.46376305667207957</v>
      </c>
      <c r="U5">
        <v>-1.8381620778022598E-14</v>
      </c>
      <c r="V5">
        <v>3.7344992809888768E-2</v>
      </c>
      <c r="W5">
        <v>0.16906450833420203</v>
      </c>
      <c r="X5">
        <v>0.13619274881923882</v>
      </c>
      <c r="Y5">
        <v>-1.7565412461596677E-14</v>
      </c>
      <c r="Z5">
        <v>-5.790288384185449E-15</v>
      </c>
      <c r="AA5">
        <v>0.41998529132600398</v>
      </c>
      <c r="AB5">
        <v>-1.8708974470777095E-15</v>
      </c>
      <c r="AC5">
        <v>-1.0881813411926548E-14</v>
      </c>
      <c r="AD5">
        <v>-3.2388373410491164E-15</v>
      </c>
      <c r="AE5">
        <v>-7.3190297622250029E-17</v>
      </c>
      <c r="AF5">
        <v>0.14279666765346821</v>
      </c>
    </row>
    <row r="8" spans="1:32" x14ac:dyDescent="0.25">
      <c r="A8" s="1" t="s">
        <v>32</v>
      </c>
      <c r="B8" t="s">
        <v>12</v>
      </c>
      <c r="C8" t="s">
        <v>1</v>
      </c>
      <c r="D8" t="s">
        <v>13</v>
      </c>
      <c r="E8" t="s">
        <v>27</v>
      </c>
      <c r="F8" t="s">
        <v>19</v>
      </c>
      <c r="G8" t="s">
        <v>20</v>
      </c>
      <c r="H8" t="s">
        <v>24</v>
      </c>
      <c r="I8" t="s">
        <v>21</v>
      </c>
      <c r="J8" t="s">
        <v>3</v>
      </c>
      <c r="K8" t="s">
        <v>16</v>
      </c>
      <c r="L8" t="s">
        <v>8</v>
      </c>
      <c r="M8" t="s">
        <v>17</v>
      </c>
      <c r="N8" t="s">
        <v>18</v>
      </c>
      <c r="O8" t="s">
        <v>7</v>
      </c>
      <c r="P8" t="s">
        <v>10</v>
      </c>
      <c r="Q8" t="s">
        <v>14</v>
      </c>
      <c r="R8" t="s">
        <v>6</v>
      </c>
      <c r="S8" t="s">
        <v>5</v>
      </c>
      <c r="T8" t="s">
        <v>29</v>
      </c>
      <c r="U8" t="s">
        <v>28</v>
      </c>
      <c r="V8" t="s">
        <v>15</v>
      </c>
      <c r="W8" t="s">
        <v>4</v>
      </c>
      <c r="X8" t="s">
        <v>26</v>
      </c>
      <c r="Y8" t="s">
        <v>9</v>
      </c>
      <c r="Z8" t="s">
        <v>23</v>
      </c>
      <c r="AA8" t="s">
        <v>2</v>
      </c>
      <c r="AB8" t="s">
        <v>30</v>
      </c>
      <c r="AC8" t="s">
        <v>25</v>
      </c>
      <c r="AD8" t="s">
        <v>11</v>
      </c>
      <c r="AE8" t="s">
        <v>22</v>
      </c>
      <c r="AF8" t="s">
        <v>37</v>
      </c>
    </row>
    <row r="9" spans="1:32" x14ac:dyDescent="0.25">
      <c r="A9">
        <v>2022</v>
      </c>
      <c r="B9">
        <v>0</v>
      </c>
      <c r="C9">
        <v>0</v>
      </c>
      <c r="D9">
        <v>-4.1248904390414814E-2</v>
      </c>
      <c r="E9">
        <v>0</v>
      </c>
      <c r="F9">
        <v>0</v>
      </c>
      <c r="G9">
        <v>0</v>
      </c>
      <c r="H9">
        <v>0.43914919587235479</v>
      </c>
      <c r="I9">
        <v>0</v>
      </c>
      <c r="J9">
        <v>0</v>
      </c>
      <c r="K9">
        <v>0</v>
      </c>
      <c r="L9">
        <v>0.47741843537446227</v>
      </c>
      <c r="M9">
        <v>0</v>
      </c>
      <c r="N9">
        <v>0</v>
      </c>
      <c r="O9">
        <v>0.53645680381600169</v>
      </c>
      <c r="P9">
        <v>0</v>
      </c>
      <c r="Q9">
        <v>0</v>
      </c>
      <c r="R9">
        <v>0.31140311385255787</v>
      </c>
      <c r="S9">
        <v>0</v>
      </c>
      <c r="T9">
        <v>0.32742623531912929</v>
      </c>
      <c r="U9">
        <v>0</v>
      </c>
      <c r="V9">
        <v>0</v>
      </c>
      <c r="W9">
        <v>0</v>
      </c>
      <c r="X9">
        <v>0</v>
      </c>
      <c r="Y9">
        <v>0.10674032490343888</v>
      </c>
      <c r="Z9">
        <v>0</v>
      </c>
      <c r="AA9">
        <v>0.12601394086837095</v>
      </c>
      <c r="AB9">
        <v>0</v>
      </c>
      <c r="AC9">
        <v>0</v>
      </c>
      <c r="AD9">
        <v>0</v>
      </c>
      <c r="AE9">
        <v>1.7287067600380367E-2</v>
      </c>
      <c r="AF9">
        <v>7.6688207107209375E-2</v>
      </c>
    </row>
    <row r="10" spans="1:32" x14ac:dyDescent="0.25">
      <c r="A10">
        <v>2023</v>
      </c>
      <c r="B10">
        <v>4.427494716595861E-2</v>
      </c>
      <c r="C10">
        <v>0</v>
      </c>
      <c r="D10">
        <v>-4.7933560096990659E-2</v>
      </c>
      <c r="E10">
        <v>0</v>
      </c>
      <c r="F10">
        <v>0</v>
      </c>
      <c r="G10">
        <v>0</v>
      </c>
      <c r="H10">
        <v>0.40020520089159661</v>
      </c>
      <c r="I10">
        <v>9.0605691927776996E-2</v>
      </c>
      <c r="J10">
        <v>0</v>
      </c>
      <c r="K10">
        <v>0.23260141500570025</v>
      </c>
      <c r="L10">
        <v>0.58221675387036054</v>
      </c>
      <c r="M10">
        <v>0</v>
      </c>
      <c r="N10">
        <v>0.29713022127932454</v>
      </c>
      <c r="O10">
        <v>0.69193686256504228</v>
      </c>
      <c r="P10">
        <v>-8.5825991525278644E-2</v>
      </c>
      <c r="Q10">
        <v>0.25815193632827699</v>
      </c>
      <c r="R10">
        <v>0.36390491888939347</v>
      </c>
      <c r="S10">
        <v>0</v>
      </c>
      <c r="T10">
        <v>0.19993960337175842</v>
      </c>
      <c r="U10">
        <v>0</v>
      </c>
      <c r="V10">
        <v>0</v>
      </c>
      <c r="W10">
        <v>0</v>
      </c>
      <c r="X10">
        <v>0.23158832413353397</v>
      </c>
      <c r="Y10">
        <v>0</v>
      </c>
      <c r="Z10">
        <v>0</v>
      </c>
      <c r="AA10">
        <v>0.12039288391327166</v>
      </c>
      <c r="AB10">
        <v>0</v>
      </c>
      <c r="AC10">
        <v>0</v>
      </c>
      <c r="AD10">
        <v>-0.1731435020063595</v>
      </c>
      <c r="AE10">
        <v>0</v>
      </c>
      <c r="AF10">
        <v>0.10686819019044552</v>
      </c>
    </row>
    <row r="11" spans="1:32" x14ac:dyDescent="0.25">
      <c r="A11">
        <v>2024</v>
      </c>
      <c r="B11">
        <v>0</v>
      </c>
      <c r="C11">
        <v>0</v>
      </c>
      <c r="D11">
        <v>-1.3840176127416365E-2</v>
      </c>
      <c r="E11">
        <v>0</v>
      </c>
      <c r="F11">
        <v>0</v>
      </c>
      <c r="G11">
        <v>0</v>
      </c>
      <c r="H11">
        <v>0.50451203761300234</v>
      </c>
      <c r="I11">
        <v>0</v>
      </c>
      <c r="J11">
        <v>0</v>
      </c>
      <c r="K11">
        <v>0.30549371739320857</v>
      </c>
      <c r="L11">
        <v>0.61986798476248384</v>
      </c>
      <c r="M11">
        <v>0.22286091328133786</v>
      </c>
      <c r="N11">
        <v>0.30055946758839719</v>
      </c>
      <c r="O11">
        <v>0.82337763409204079</v>
      </c>
      <c r="P11">
        <v>0</v>
      </c>
      <c r="Q11">
        <v>0.41655712930712435</v>
      </c>
      <c r="R11">
        <v>0.41570446443247067</v>
      </c>
      <c r="S11">
        <v>0</v>
      </c>
      <c r="T11">
        <v>0</v>
      </c>
      <c r="U11">
        <v>0</v>
      </c>
      <c r="V11">
        <v>0</v>
      </c>
      <c r="W11">
        <v>0.2640771397298099</v>
      </c>
      <c r="X11">
        <v>0.2981407091096181</v>
      </c>
      <c r="Y11">
        <v>9.302065992135515E-2</v>
      </c>
      <c r="Z11">
        <v>0</v>
      </c>
      <c r="AA11">
        <v>0.35990661732886381</v>
      </c>
      <c r="AB11">
        <v>0</v>
      </c>
      <c r="AC11">
        <v>0</v>
      </c>
      <c r="AD11">
        <v>0</v>
      </c>
      <c r="AE11">
        <v>0</v>
      </c>
      <c r="AF11">
        <v>0.15367460994774318</v>
      </c>
    </row>
    <row r="12" spans="1:32" x14ac:dyDescent="0.25">
      <c r="A12">
        <v>2025</v>
      </c>
    </row>
    <row r="15" spans="1:32" x14ac:dyDescent="0.25">
      <c r="A15" s="1" t="s">
        <v>33</v>
      </c>
      <c r="B15" t="s">
        <v>12</v>
      </c>
      <c r="C15" t="s">
        <v>1</v>
      </c>
      <c r="D15" t="s">
        <v>13</v>
      </c>
      <c r="E15" t="s">
        <v>27</v>
      </c>
      <c r="F15" t="s">
        <v>19</v>
      </c>
      <c r="G15" t="s">
        <v>20</v>
      </c>
      <c r="H15" t="s">
        <v>24</v>
      </c>
      <c r="I15" t="s">
        <v>21</v>
      </c>
      <c r="J15" t="s">
        <v>3</v>
      </c>
      <c r="K15" t="s">
        <v>16</v>
      </c>
      <c r="L15" t="s">
        <v>8</v>
      </c>
      <c r="M15" t="s">
        <v>17</v>
      </c>
      <c r="N15" t="s">
        <v>18</v>
      </c>
      <c r="O15" t="s">
        <v>7</v>
      </c>
      <c r="P15" t="s">
        <v>10</v>
      </c>
      <c r="Q15" t="s">
        <v>14</v>
      </c>
      <c r="R15" t="s">
        <v>6</v>
      </c>
      <c r="S15" t="s">
        <v>5</v>
      </c>
      <c r="T15" t="s">
        <v>29</v>
      </c>
      <c r="U15" t="s">
        <v>28</v>
      </c>
      <c r="V15" t="s">
        <v>15</v>
      </c>
      <c r="W15" t="s">
        <v>4</v>
      </c>
      <c r="X15" t="s">
        <v>26</v>
      </c>
      <c r="Y15" t="s">
        <v>9</v>
      </c>
      <c r="Z15" t="s">
        <v>23</v>
      </c>
      <c r="AA15" t="s">
        <v>2</v>
      </c>
      <c r="AB15" t="s">
        <v>30</v>
      </c>
      <c r="AC15" t="s">
        <v>25</v>
      </c>
      <c r="AD15" t="s">
        <v>11</v>
      </c>
      <c r="AE15" t="s">
        <v>22</v>
      </c>
      <c r="AF15" t="s">
        <v>37</v>
      </c>
    </row>
    <row r="16" spans="1:32" x14ac:dyDescent="0.25">
      <c r="A16">
        <v>2022</v>
      </c>
      <c r="B16">
        <v>-3.9909172191969385E-2</v>
      </c>
      <c r="C16">
        <v>0</v>
      </c>
      <c r="D16">
        <v>1.1431521267735709E-2</v>
      </c>
      <c r="E16">
        <v>0.4322892776181112</v>
      </c>
      <c r="F16">
        <v>0</v>
      </c>
      <c r="G16">
        <v>0.13309405687959325</v>
      </c>
      <c r="H16">
        <v>0</v>
      </c>
      <c r="I16">
        <v>0</v>
      </c>
      <c r="J16">
        <v>0.17924043791323002</v>
      </c>
      <c r="K16">
        <v>0.25250499764425505</v>
      </c>
      <c r="L16">
        <v>0.24933392329057238</v>
      </c>
      <c r="M16">
        <v>0.17796100792824998</v>
      </c>
      <c r="N16">
        <v>0.27379328460156266</v>
      </c>
      <c r="O16">
        <v>0.62179105226477271</v>
      </c>
      <c r="P16">
        <v>0</v>
      </c>
      <c r="Q16">
        <v>0.23963747709229091</v>
      </c>
      <c r="R16">
        <v>0.13951821302414114</v>
      </c>
      <c r="S16">
        <v>0</v>
      </c>
      <c r="T16">
        <v>0</v>
      </c>
      <c r="U16">
        <v>0</v>
      </c>
      <c r="V16">
        <v>4.5714374016408779E-2</v>
      </c>
      <c r="W16">
        <v>0</v>
      </c>
      <c r="X16">
        <v>-3.0099195609761244E-2</v>
      </c>
      <c r="Y16">
        <v>0</v>
      </c>
      <c r="Z16">
        <v>0</v>
      </c>
      <c r="AA16">
        <v>0</v>
      </c>
      <c r="AB16">
        <v>0</v>
      </c>
      <c r="AC16">
        <v>-8.8521367263840398E-2</v>
      </c>
      <c r="AD16">
        <v>-1.9032026137523521E-2</v>
      </c>
      <c r="AE16">
        <v>0</v>
      </c>
      <c r="AF16">
        <v>8.5958262077927686E-2</v>
      </c>
    </row>
    <row r="17" spans="1:32" x14ac:dyDescent="0.25">
      <c r="A17">
        <v>2023</v>
      </c>
      <c r="B17">
        <v>0</v>
      </c>
      <c r="C17">
        <v>0</v>
      </c>
      <c r="D17">
        <v>-6.4018496182327425E-2</v>
      </c>
      <c r="E17">
        <v>0</v>
      </c>
      <c r="F17">
        <v>-7.2309217346852792E-2</v>
      </c>
      <c r="G17">
        <v>0.10267059578060161</v>
      </c>
      <c r="H17">
        <v>0</v>
      </c>
      <c r="I17">
        <v>0</v>
      </c>
      <c r="J17">
        <v>0.21796054285512706</v>
      </c>
      <c r="K17">
        <v>0.17463943865427484</v>
      </c>
      <c r="L17">
        <v>0.37339016977589118</v>
      </c>
      <c r="M17">
        <v>0.17188215923474129</v>
      </c>
      <c r="N17">
        <v>0.26262496408573549</v>
      </c>
      <c r="O17">
        <v>0</v>
      </c>
      <c r="P17">
        <v>-5.020635968367762E-2</v>
      </c>
      <c r="Q17">
        <v>0.23469108452806881</v>
      </c>
      <c r="R17">
        <v>0.32005898837613578</v>
      </c>
      <c r="S17">
        <v>0</v>
      </c>
      <c r="T17">
        <v>0.27597805213467458</v>
      </c>
      <c r="U17">
        <v>0</v>
      </c>
      <c r="V17">
        <v>7.9113736934776163E-2</v>
      </c>
      <c r="W17">
        <v>0</v>
      </c>
      <c r="X17">
        <v>0.27005630363121363</v>
      </c>
      <c r="Y17">
        <v>0.16158954357759411</v>
      </c>
      <c r="Z17">
        <v>0</v>
      </c>
      <c r="AA17">
        <v>9.0956820909972119E-2</v>
      </c>
      <c r="AB17">
        <v>0</v>
      </c>
      <c r="AC17">
        <v>-6.030808626725398E-2</v>
      </c>
      <c r="AD17">
        <v>-2.2403039229585892E-2</v>
      </c>
      <c r="AE17">
        <v>0</v>
      </c>
      <c r="AF17">
        <v>8.2212240058970307E-2</v>
      </c>
    </row>
    <row r="18" spans="1:32" x14ac:dyDescent="0.25">
      <c r="A18">
        <v>2024</v>
      </c>
      <c r="B18">
        <v>0</v>
      </c>
      <c r="C18">
        <v>0</v>
      </c>
      <c r="D18">
        <v>-0.22663021742018311</v>
      </c>
      <c r="E18">
        <v>0.63070282105270092</v>
      </c>
      <c r="F18">
        <v>-5.3806578633169649E-2</v>
      </c>
      <c r="G18">
        <v>-3.3624750364073384E-2</v>
      </c>
      <c r="H18">
        <v>0</v>
      </c>
      <c r="I18">
        <v>0</v>
      </c>
      <c r="J18">
        <v>0.20183443992549255</v>
      </c>
      <c r="K18">
        <v>0</v>
      </c>
      <c r="L18">
        <v>0.38643601160892821</v>
      </c>
      <c r="M18">
        <v>0.22242011144201862</v>
      </c>
      <c r="N18">
        <v>0.30569753988628845</v>
      </c>
      <c r="O18">
        <v>0.60528001597430847</v>
      </c>
      <c r="P18">
        <v>-0.18044952978696818</v>
      </c>
      <c r="Q18">
        <v>0.36787379963179667</v>
      </c>
      <c r="R18">
        <v>0.34355272738294534</v>
      </c>
      <c r="S18">
        <v>0</v>
      </c>
      <c r="T18">
        <v>0</v>
      </c>
      <c r="U18">
        <v>0</v>
      </c>
      <c r="V18">
        <v>-2.588178110755017E-2</v>
      </c>
      <c r="W18">
        <v>0</v>
      </c>
      <c r="X18">
        <v>0.28548259390823044</v>
      </c>
      <c r="Y18">
        <v>0</v>
      </c>
      <c r="Z18">
        <v>0</v>
      </c>
      <c r="AA18">
        <v>7.3354520072226773E-2</v>
      </c>
      <c r="AB18">
        <v>0.13971118999986473</v>
      </c>
      <c r="AC18">
        <v>1.8624042573038306E-3</v>
      </c>
      <c r="AD18">
        <v>-0.1034940689822188</v>
      </c>
      <c r="AE18">
        <v>0</v>
      </c>
      <c r="AF18">
        <v>9.8010708294931401E-2</v>
      </c>
    </row>
    <row r="19" spans="1:32" x14ac:dyDescent="0.25">
      <c r="A19">
        <v>2025</v>
      </c>
    </row>
    <row r="22" spans="1:32" s="10" customFormat="1" x14ac:dyDescent="0.25">
      <c r="A22" s="9" t="s">
        <v>40</v>
      </c>
      <c r="B22" s="10" t="s">
        <v>12</v>
      </c>
      <c r="C22" s="10" t="s">
        <v>1</v>
      </c>
      <c r="D22" s="10" t="s">
        <v>13</v>
      </c>
      <c r="E22" s="10" t="s">
        <v>27</v>
      </c>
      <c r="F22" s="10" t="s">
        <v>19</v>
      </c>
      <c r="G22" s="10" t="s">
        <v>20</v>
      </c>
      <c r="H22" s="10" t="s">
        <v>24</v>
      </c>
      <c r="I22" s="10" t="s">
        <v>21</v>
      </c>
      <c r="J22" s="10" t="s">
        <v>3</v>
      </c>
      <c r="K22" s="10" t="s">
        <v>16</v>
      </c>
      <c r="L22" s="10" t="s">
        <v>8</v>
      </c>
      <c r="M22" s="10" t="s">
        <v>17</v>
      </c>
      <c r="N22" s="10" t="s">
        <v>18</v>
      </c>
      <c r="O22" s="10" t="s">
        <v>7</v>
      </c>
      <c r="P22" s="10" t="s">
        <v>10</v>
      </c>
      <c r="Q22" s="10" t="s">
        <v>14</v>
      </c>
      <c r="R22" s="10" t="s">
        <v>6</v>
      </c>
      <c r="S22" s="10" t="s">
        <v>5</v>
      </c>
      <c r="T22" s="10" t="s">
        <v>29</v>
      </c>
      <c r="U22" s="10" t="s">
        <v>28</v>
      </c>
      <c r="V22" s="10" t="s">
        <v>15</v>
      </c>
      <c r="W22" s="10" t="s">
        <v>4</v>
      </c>
      <c r="X22" s="10" t="s">
        <v>26</v>
      </c>
      <c r="Y22" s="10" t="s">
        <v>9</v>
      </c>
      <c r="Z22" s="10" t="s">
        <v>23</v>
      </c>
      <c r="AA22" s="10" t="s">
        <v>2</v>
      </c>
      <c r="AB22" s="10" t="s">
        <v>30</v>
      </c>
      <c r="AC22" s="10" t="s">
        <v>25</v>
      </c>
      <c r="AD22" s="10" t="s">
        <v>11</v>
      </c>
      <c r="AE22" s="10" t="s">
        <v>22</v>
      </c>
      <c r="AF22" s="10" t="s">
        <v>37</v>
      </c>
    </row>
    <row r="23" spans="1:32" s="10" customFormat="1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2" s="10" customFormat="1" x14ac:dyDescent="0.25">
      <c r="A24" s="13" t="s">
        <v>46</v>
      </c>
      <c r="B24" s="12">
        <f>0.5*(B2-B9+B16-B3)</f>
        <v>-1.9954586095984082E-2</v>
      </c>
      <c r="C24" s="12">
        <f t="shared" ref="C24:AE24" si="0">0.5*(C2-C9+C16-C3)</f>
        <v>0</v>
      </c>
      <c r="D24" s="12">
        <f t="shared" si="0"/>
        <v>2.6340212829075935E-2</v>
      </c>
      <c r="E24" s="12">
        <f t="shared" si="0"/>
        <v>0.45324234197998187</v>
      </c>
      <c r="F24" s="12">
        <f t="shared" si="0"/>
        <v>-2.168227463350917E-16</v>
      </c>
      <c r="G24" s="12">
        <f t="shared" si="0"/>
        <v>9.8466920140457145E-2</v>
      </c>
      <c r="H24" s="12">
        <f t="shared" si="0"/>
        <v>-2.5594151858185282E-2</v>
      </c>
      <c r="I24" s="12">
        <f t="shared" si="0"/>
        <v>1.355443672860722E-16</v>
      </c>
      <c r="J24" s="12">
        <f t="shared" si="0"/>
        <v>1.5697611649496263E-3</v>
      </c>
      <c r="K24" s="12">
        <f t="shared" si="0"/>
        <v>0.18978030352577599</v>
      </c>
      <c r="L24" s="12">
        <f t="shared" si="0"/>
        <v>-7.6073754374442373E-2</v>
      </c>
      <c r="M24" s="12">
        <f t="shared" si="0"/>
        <v>0.19379833327436799</v>
      </c>
      <c r="N24" s="12">
        <f t="shared" si="0"/>
        <v>0.22684004893399906</v>
      </c>
      <c r="O24" s="12">
        <f t="shared" si="0"/>
        <v>0.20998238138739098</v>
      </c>
      <c r="P24" s="12">
        <f t="shared" si="0"/>
        <v>8.3266726846886741E-17</v>
      </c>
      <c r="Q24" s="12">
        <f t="shared" si="0"/>
        <v>4.1954045615603661E-2</v>
      </c>
      <c r="R24" s="12">
        <f t="shared" si="0"/>
        <v>-0.12127569661738223</v>
      </c>
      <c r="S24" s="12">
        <f t="shared" si="0"/>
        <v>-5.5511151231257827E-17</v>
      </c>
      <c r="T24" s="12">
        <f t="shared" si="0"/>
        <v>-0.23830048090973061</v>
      </c>
      <c r="U24" s="12">
        <f t="shared" si="0"/>
        <v>1.2378986724570495E-14</v>
      </c>
      <c r="V24" s="12">
        <f t="shared" si="0"/>
        <v>2.2857187008205666E-2</v>
      </c>
      <c r="W24" s="12">
        <f t="shared" si="0"/>
        <v>6.5906853683749822E-2</v>
      </c>
      <c r="X24" s="12">
        <f t="shared" si="0"/>
        <v>-4.4382998964659914E-2</v>
      </c>
      <c r="Y24" s="12">
        <f t="shared" si="0"/>
        <v>-5.3370162451727376E-2</v>
      </c>
      <c r="Z24" s="12">
        <f t="shared" si="0"/>
        <v>2.2204460492503131E-16</v>
      </c>
      <c r="AA24" s="12">
        <f t="shared" si="0"/>
        <v>-5.0460656688992134E-2</v>
      </c>
      <c r="AB24" s="12">
        <f t="shared" si="0"/>
        <v>-6.0750266851280257E-16</v>
      </c>
      <c r="AC24" s="12">
        <f t="shared" si="0"/>
        <v>-4.4260683631922745E-2</v>
      </c>
      <c r="AD24" s="12">
        <f t="shared" si="0"/>
        <v>-9.5160130687616702E-3</v>
      </c>
      <c r="AE24" s="12">
        <f t="shared" si="0"/>
        <v>-8.643533800183607E-3</v>
      </c>
      <c r="AF24" s="10">
        <f>AVERAGE(B24:AE24)</f>
        <v>2.7963522369386592E-2</v>
      </c>
    </row>
    <row r="25" spans="1:32" s="10" customFormat="1" x14ac:dyDescent="0.25">
      <c r="A25" s="13" t="s">
        <v>47</v>
      </c>
      <c r="B25" s="12">
        <f t="shared" ref="B25:AE25" si="1">0.5*(B3-B10+B17-B4)</f>
        <v>-2.2137473582979138E-2</v>
      </c>
      <c r="C25" s="12">
        <f t="shared" si="1"/>
        <v>0</v>
      </c>
      <c r="D25" s="12">
        <f t="shared" si="1"/>
        <v>-8.0424680426685081E-3</v>
      </c>
      <c r="E25" s="12">
        <f t="shared" si="1"/>
        <v>-0.35400566611222234</v>
      </c>
      <c r="F25" s="12">
        <f t="shared" si="1"/>
        <v>-3.6154608673425966E-2</v>
      </c>
      <c r="G25" s="12">
        <f t="shared" si="1"/>
        <v>9.9085999825787571E-2</v>
      </c>
      <c r="H25" s="12">
        <f t="shared" si="1"/>
        <v>-0.3426942037986358</v>
      </c>
      <c r="I25" s="12">
        <f t="shared" si="1"/>
        <v>-4.5302845963886583E-2</v>
      </c>
      <c r="J25" s="12">
        <f t="shared" si="1"/>
        <v>0.19703072921922882</v>
      </c>
      <c r="K25" s="12">
        <f t="shared" si="1"/>
        <v>-2.5479529151540697E-2</v>
      </c>
      <c r="L25" s="12">
        <f t="shared" si="1"/>
        <v>-0.21803935666695756</v>
      </c>
      <c r="M25" s="12">
        <f t="shared" si="1"/>
        <v>-4.1035153883494255E-2</v>
      </c>
      <c r="N25" s="12">
        <f t="shared" si="1"/>
        <v>-0.12720691506457404</v>
      </c>
      <c r="O25" s="12">
        <f t="shared" si="1"/>
        <v>-0.56355759685696283</v>
      </c>
      <c r="P25" s="12">
        <f t="shared" si="1"/>
        <v>1.7809815920800526E-2</v>
      </c>
      <c r="Q25" s="12">
        <f t="shared" si="1"/>
        <v>-0.10891768502743368</v>
      </c>
      <c r="R25" s="12">
        <f t="shared" si="1"/>
        <v>-5.8990019803224908E-2</v>
      </c>
      <c r="S25" s="12">
        <f t="shared" si="1"/>
        <v>0</v>
      </c>
      <c r="T25" s="12">
        <f t="shared" si="1"/>
        <v>0.18814576131997754</v>
      </c>
      <c r="U25" s="12">
        <f t="shared" si="1"/>
        <v>-3.1530333899354446E-14</v>
      </c>
      <c r="V25" s="12">
        <f t="shared" si="1"/>
        <v>3.9556868467388026E-2</v>
      </c>
      <c r="W25" s="12">
        <f t="shared" si="1"/>
        <v>7.1117043046531828E-3</v>
      </c>
      <c r="X25" s="12">
        <f t="shared" si="1"/>
        <v>-3.0696461945745657E-2</v>
      </c>
      <c r="Y25" s="12">
        <f t="shared" si="1"/>
        <v>8.0794771788796724E-2</v>
      </c>
      <c r="Z25" s="12">
        <f t="shared" si="1"/>
        <v>5.5511151231257827E-16</v>
      </c>
      <c r="AA25" s="12">
        <f t="shared" si="1"/>
        <v>-2.3789302476921279E-2</v>
      </c>
      <c r="AB25" s="12">
        <f t="shared" si="1"/>
        <v>9.9608072713160735E-16</v>
      </c>
      <c r="AC25" s="12">
        <f t="shared" si="1"/>
        <v>-3.0154043133624214E-2</v>
      </c>
      <c r="AD25" s="12">
        <f t="shared" si="1"/>
        <v>7.5370231388387651E-2</v>
      </c>
      <c r="AE25" s="12">
        <f t="shared" si="1"/>
        <v>-6.4118894304411328E-15</v>
      </c>
      <c r="AF25" s="10">
        <f t="shared" ref="AF25:AF26" si="2">AVERAGE(B25:AE25)</f>
        <v>-4.4376581598310469E-2</v>
      </c>
    </row>
    <row r="26" spans="1:32" s="10" customFormat="1" x14ac:dyDescent="0.25">
      <c r="A26" s="13" t="s">
        <v>48</v>
      </c>
      <c r="B26" s="12">
        <f t="shared" ref="B26:AE26" si="3">0.5*(B4-B11+B18-B5)</f>
        <v>4.5923482998130231E-16</v>
      </c>
      <c r="C26" s="12">
        <f t="shared" si="3"/>
        <v>1.1102230246251565E-16</v>
      </c>
      <c r="D26" s="12">
        <f t="shared" si="3"/>
        <v>-0.10639502064638354</v>
      </c>
      <c r="E26" s="12">
        <f t="shared" si="3"/>
        <v>0.46819242835481811</v>
      </c>
      <c r="F26" s="12">
        <f t="shared" si="3"/>
        <v>-2.6903289316585931E-2</v>
      </c>
      <c r="G26" s="12">
        <f t="shared" si="3"/>
        <v>-1.681237518203705E-2</v>
      </c>
      <c r="H26" s="12">
        <f t="shared" si="3"/>
        <v>-0.32316691307287415</v>
      </c>
      <c r="I26" s="12">
        <f t="shared" si="3"/>
        <v>-5.773159728050814E-15</v>
      </c>
      <c r="J26" s="12">
        <f t="shared" si="3"/>
        <v>2.2587968774096134E-2</v>
      </c>
      <c r="K26" s="12">
        <f t="shared" si="3"/>
        <v>-0.19584872267943954</v>
      </c>
      <c r="L26" s="12">
        <f t="shared" si="3"/>
        <v>-8.0234728238840342E-2</v>
      </c>
      <c r="M26" s="12">
        <f t="shared" si="3"/>
        <v>1.1887013127079959E-2</v>
      </c>
      <c r="N26" s="12">
        <f t="shared" si="3"/>
        <v>-3.4269294993763411E-3</v>
      </c>
      <c r="O26" s="12">
        <f t="shared" si="3"/>
        <v>0.23892954008734563</v>
      </c>
      <c r="P26" s="12">
        <f t="shared" si="3"/>
        <v>-9.0224764893482579E-2</v>
      </c>
      <c r="Q26" s="12">
        <f t="shared" si="3"/>
        <v>-6.5390635834615102E-2</v>
      </c>
      <c r="R26" s="12">
        <f t="shared" si="3"/>
        <v>-1.655387087333407E-2</v>
      </c>
      <c r="S26" s="12">
        <f t="shared" si="3"/>
        <v>1.1102230246251565E-16</v>
      </c>
      <c r="T26" s="12">
        <f t="shared" si="3"/>
        <v>-0.23188152833604062</v>
      </c>
      <c r="U26" s="12">
        <f t="shared" si="3"/>
        <v>3.7557008668184046E-14</v>
      </c>
      <c r="V26" s="12">
        <f t="shared" si="3"/>
        <v>-3.1613386958720749E-2</v>
      </c>
      <c r="W26" s="12">
        <f t="shared" si="3"/>
        <v>-0.21657082403200595</v>
      </c>
      <c r="X26" s="12">
        <f t="shared" si="3"/>
        <v>9.6842545979075739E-2</v>
      </c>
      <c r="Y26" s="12">
        <f t="shared" si="3"/>
        <v>-4.6510329960669568E-2</v>
      </c>
      <c r="Z26" s="12">
        <f t="shared" si="3"/>
        <v>1.8959434699300836E-15</v>
      </c>
      <c r="AA26" s="12">
        <f t="shared" si="3"/>
        <v>-0.30025783425545616</v>
      </c>
      <c r="AB26" s="12">
        <f t="shared" si="3"/>
        <v>6.9855594999932574E-2</v>
      </c>
      <c r="AC26" s="12">
        <f t="shared" si="3"/>
        <v>9.3120212865446968E-4</v>
      </c>
      <c r="AD26" s="12">
        <f t="shared" si="3"/>
        <v>-5.1747034491108727E-2</v>
      </c>
      <c r="AE26" s="12">
        <f t="shared" si="3"/>
        <v>-2.0630513641662076E-15</v>
      </c>
      <c r="AF26" s="10">
        <f t="shared" si="2"/>
        <v>-2.9810396493997852E-2</v>
      </c>
    </row>
    <row r="29" spans="1:32" s="8" customFormat="1" x14ac:dyDescent="0.25">
      <c r="A29" s="7" t="s">
        <v>42</v>
      </c>
      <c r="B29" s="8" t="s">
        <v>12</v>
      </c>
      <c r="C29" s="8" t="s">
        <v>1</v>
      </c>
      <c r="D29" s="8" t="s">
        <v>13</v>
      </c>
      <c r="E29" s="8" t="s">
        <v>27</v>
      </c>
      <c r="F29" s="8" t="s">
        <v>19</v>
      </c>
      <c r="G29" s="8" t="s">
        <v>20</v>
      </c>
      <c r="H29" s="8" t="s">
        <v>24</v>
      </c>
      <c r="I29" s="8" t="s">
        <v>21</v>
      </c>
      <c r="J29" s="8" t="s">
        <v>3</v>
      </c>
      <c r="K29" s="8" t="s">
        <v>16</v>
      </c>
      <c r="L29" s="8" t="s">
        <v>8</v>
      </c>
      <c r="M29" s="8" t="s">
        <v>17</v>
      </c>
      <c r="N29" s="8" t="s">
        <v>18</v>
      </c>
      <c r="O29" s="8" t="s">
        <v>7</v>
      </c>
      <c r="P29" s="8" t="s">
        <v>10</v>
      </c>
      <c r="Q29" s="8" t="s">
        <v>14</v>
      </c>
      <c r="R29" s="8" t="s">
        <v>6</v>
      </c>
      <c r="S29" s="8" t="s">
        <v>5</v>
      </c>
      <c r="T29" s="8" t="s">
        <v>29</v>
      </c>
      <c r="U29" s="8" t="s">
        <v>28</v>
      </c>
      <c r="V29" s="8" t="s">
        <v>15</v>
      </c>
      <c r="W29" s="8" t="s">
        <v>4</v>
      </c>
      <c r="X29" s="8" t="s">
        <v>26</v>
      </c>
      <c r="Y29" s="8" t="s">
        <v>9</v>
      </c>
      <c r="Z29" s="8" t="s">
        <v>23</v>
      </c>
      <c r="AA29" s="8" t="s">
        <v>2</v>
      </c>
      <c r="AB29" s="8" t="s">
        <v>30</v>
      </c>
      <c r="AC29" s="8" t="s">
        <v>25</v>
      </c>
      <c r="AD29" s="8" t="s">
        <v>11</v>
      </c>
      <c r="AE29" s="8" t="s">
        <v>22</v>
      </c>
      <c r="AF29" s="8" t="s">
        <v>37</v>
      </c>
    </row>
    <row r="30" spans="1:32" s="8" customFormat="1" x14ac:dyDescent="0.25">
      <c r="A30" s="11"/>
    </row>
    <row r="31" spans="1:32" s="8" customFormat="1" x14ac:dyDescent="0.25">
      <c r="A31" s="13" t="s">
        <v>46</v>
      </c>
      <c r="B31" s="10">
        <f>0.5*(B3-B9+B16-B2)</f>
        <v>-1.9954586095985303E-2</v>
      </c>
      <c r="C31" s="10">
        <f t="shared" ref="C31:AE31" si="4">0.5*(C3-C9+C16-C2)</f>
        <v>0</v>
      </c>
      <c r="D31" s="10">
        <f t="shared" si="4"/>
        <v>2.6340212829074588E-2</v>
      </c>
      <c r="E31" s="10">
        <f t="shared" si="4"/>
        <v>-2.0953064361870666E-2</v>
      </c>
      <c r="F31" s="10">
        <f t="shared" si="4"/>
        <v>2.168227463350917E-16</v>
      </c>
      <c r="G31" s="10">
        <f t="shared" si="4"/>
        <v>3.4627136739136102E-2</v>
      </c>
      <c r="H31" s="10">
        <f t="shared" si="4"/>
        <v>-0.41355504401416954</v>
      </c>
      <c r="I31" s="10">
        <f t="shared" si="4"/>
        <v>-1.355443672860722E-16</v>
      </c>
      <c r="J31" s="10">
        <f t="shared" si="4"/>
        <v>0.17767067674828041</v>
      </c>
      <c r="K31" s="10">
        <f t="shared" si="4"/>
        <v>6.2724694118479057E-2</v>
      </c>
      <c r="L31" s="10">
        <f t="shared" si="4"/>
        <v>-0.1520107577094475</v>
      </c>
      <c r="M31" s="10">
        <f t="shared" si="4"/>
        <v>-1.5837325346117995E-2</v>
      </c>
      <c r="N31" s="10">
        <f t="shared" si="4"/>
        <v>4.6953235667563598E-2</v>
      </c>
      <c r="O31" s="10">
        <f t="shared" si="4"/>
        <v>-0.12464813293861995</v>
      </c>
      <c r="P31" s="10">
        <f t="shared" si="4"/>
        <v>-8.3266726846886741E-17</v>
      </c>
      <c r="Q31" s="10">
        <f t="shared" si="4"/>
        <v>0.19768343147668727</v>
      </c>
      <c r="R31" s="10">
        <f t="shared" si="4"/>
        <v>-5.06092042110345E-2</v>
      </c>
      <c r="S31" s="10">
        <f t="shared" si="4"/>
        <v>5.5511151231257827E-17</v>
      </c>
      <c r="T31" s="10">
        <f t="shared" si="4"/>
        <v>-8.9125754409398683E-2</v>
      </c>
      <c r="U31" s="10">
        <f t="shared" si="4"/>
        <v>-1.2378986724570495E-14</v>
      </c>
      <c r="V31" s="10">
        <f t="shared" si="4"/>
        <v>2.2857187008203113E-2</v>
      </c>
      <c r="W31" s="10">
        <f t="shared" si="4"/>
        <v>-6.5906853683749822E-2</v>
      </c>
      <c r="X31" s="10">
        <f t="shared" si="4"/>
        <v>1.4283803354898678E-2</v>
      </c>
      <c r="Y31" s="10">
        <f t="shared" si="4"/>
        <v>-5.33701624517115E-2</v>
      </c>
      <c r="Z31" s="10">
        <f t="shared" si="4"/>
        <v>-2.2204460492503131E-16</v>
      </c>
      <c r="AA31" s="10">
        <f t="shared" si="4"/>
        <v>-7.5553284179378816E-2</v>
      </c>
      <c r="AB31" s="10">
        <f t="shared" si="4"/>
        <v>6.0750266851280257E-16</v>
      </c>
      <c r="AC31" s="10">
        <f t="shared" si="4"/>
        <v>-4.4260683631917652E-2</v>
      </c>
      <c r="AD31" s="10">
        <f t="shared" si="4"/>
        <v>-9.5160130687618506E-3</v>
      </c>
      <c r="AE31" s="10">
        <f t="shared" si="4"/>
        <v>-8.6435338001967597E-3</v>
      </c>
      <c r="AF31" s="10">
        <f>AVERAGE(B31:AE31)</f>
        <v>-1.8693467398668322E-2</v>
      </c>
    </row>
    <row r="32" spans="1:32" s="8" customFormat="1" x14ac:dyDescent="0.25">
      <c r="A32" s="13" t="s">
        <v>47</v>
      </c>
      <c r="B32" s="10">
        <f t="shared" ref="B32:AE32" si="5">0.5*(B4-B10+B17-B3)</f>
        <v>-2.2137473582979472E-2</v>
      </c>
      <c r="C32" s="10">
        <f t="shared" si="5"/>
        <v>0</v>
      </c>
      <c r="D32" s="10">
        <f t="shared" si="5"/>
        <v>-8.0424680426682583E-3</v>
      </c>
      <c r="E32" s="10">
        <f t="shared" si="5"/>
        <v>0.35400566611222234</v>
      </c>
      <c r="F32" s="10">
        <f t="shared" si="5"/>
        <v>-3.6154608673426826E-2</v>
      </c>
      <c r="G32" s="10">
        <f t="shared" si="5"/>
        <v>3.5845959548140433E-3</v>
      </c>
      <c r="H32" s="10">
        <f t="shared" si="5"/>
        <v>-5.7510997092960786E-2</v>
      </c>
      <c r="I32" s="10">
        <f t="shared" si="5"/>
        <v>-4.5302845963890413E-2</v>
      </c>
      <c r="J32" s="10">
        <f t="shared" si="5"/>
        <v>2.0929813635898256E-2</v>
      </c>
      <c r="K32" s="10">
        <f t="shared" si="5"/>
        <v>-3.2482447199884718E-2</v>
      </c>
      <c r="L32" s="10">
        <f t="shared" si="5"/>
        <v>9.2127725724882037E-3</v>
      </c>
      <c r="M32" s="10">
        <f t="shared" si="5"/>
        <v>0.21291731311823556</v>
      </c>
      <c r="N32" s="10">
        <f t="shared" si="5"/>
        <v>9.2701657870985013E-2</v>
      </c>
      <c r="O32" s="10">
        <f t="shared" si="5"/>
        <v>-0.12837926570807942</v>
      </c>
      <c r="P32" s="10">
        <f t="shared" si="5"/>
        <v>1.7809815920800498E-2</v>
      </c>
      <c r="Q32" s="10">
        <f t="shared" si="5"/>
        <v>8.5456833227225498E-2</v>
      </c>
      <c r="R32" s="10">
        <f t="shared" si="5"/>
        <v>1.5144089289967216E-2</v>
      </c>
      <c r="S32" s="10">
        <f t="shared" si="5"/>
        <v>0</v>
      </c>
      <c r="T32" s="10">
        <f t="shared" si="5"/>
        <v>-0.11210731255706138</v>
      </c>
      <c r="U32" s="10">
        <f t="shared" si="5"/>
        <v>3.1530333899354446E-14</v>
      </c>
      <c r="V32" s="10">
        <f t="shared" si="5"/>
        <v>3.9556868467388137E-2</v>
      </c>
      <c r="W32" s="10">
        <f t="shared" si="5"/>
        <v>-7.1117043046531828E-3</v>
      </c>
      <c r="X32" s="10">
        <f t="shared" si="5"/>
        <v>6.9164441443425331E-2</v>
      </c>
      <c r="Y32" s="10">
        <f t="shared" si="5"/>
        <v>8.079477178879739E-2</v>
      </c>
      <c r="Z32" s="10">
        <f t="shared" si="5"/>
        <v>-5.5511151231257827E-16</v>
      </c>
      <c r="AA32" s="10">
        <f t="shared" si="5"/>
        <v>-5.6467605263782611E-3</v>
      </c>
      <c r="AB32" s="10">
        <f t="shared" si="5"/>
        <v>-9.9608072713160735E-16</v>
      </c>
      <c r="AC32" s="10">
        <f t="shared" si="5"/>
        <v>-3.0154043133629765E-2</v>
      </c>
      <c r="AD32" s="10">
        <f t="shared" si="5"/>
        <v>7.5370231388385944E-2</v>
      </c>
      <c r="AE32" s="10">
        <f t="shared" si="5"/>
        <v>6.4118894304411328E-15</v>
      </c>
      <c r="AF32" s="10">
        <f t="shared" ref="AF32:AF33" si="6">AVERAGE(B32:AE32)</f>
        <v>1.9720631466835239E-2</v>
      </c>
    </row>
    <row r="33" spans="1:32" s="8" customFormat="1" x14ac:dyDescent="0.25">
      <c r="A33" s="13" t="s">
        <v>48</v>
      </c>
      <c r="B33" s="10">
        <f t="shared" ref="B33:AE33" si="7">0.5*(B5-B11+B18-B4)</f>
        <v>-4.5923482998130231E-16</v>
      </c>
      <c r="C33" s="10">
        <f t="shared" si="7"/>
        <v>-1.1102230246251565E-16</v>
      </c>
      <c r="D33" s="10">
        <f t="shared" si="7"/>
        <v>-0.1063950206463832</v>
      </c>
      <c r="E33" s="10">
        <f t="shared" si="7"/>
        <v>0.16251039269788292</v>
      </c>
      <c r="F33" s="10">
        <f t="shared" si="7"/>
        <v>-2.6903289316583718E-2</v>
      </c>
      <c r="G33" s="10">
        <f t="shared" si="7"/>
        <v>-1.6812375182036335E-2</v>
      </c>
      <c r="H33" s="10">
        <f t="shared" si="7"/>
        <v>-0.18134512454012822</v>
      </c>
      <c r="I33" s="10">
        <f t="shared" si="7"/>
        <v>5.773159728050814E-15</v>
      </c>
      <c r="J33" s="10">
        <f t="shared" si="7"/>
        <v>0.17924647115139641</v>
      </c>
      <c r="K33" s="10">
        <f t="shared" si="7"/>
        <v>-0.10964499471376903</v>
      </c>
      <c r="L33" s="10">
        <f t="shared" si="7"/>
        <v>-0.15319724491471529</v>
      </c>
      <c r="M33" s="10">
        <f t="shared" si="7"/>
        <v>-1.2327814966399189E-2</v>
      </c>
      <c r="N33" s="10">
        <f t="shared" si="7"/>
        <v>8.5650017972676018E-3</v>
      </c>
      <c r="O33" s="10">
        <f t="shared" si="7"/>
        <v>-0.45702715820507794</v>
      </c>
      <c r="P33" s="10">
        <f t="shared" si="7"/>
        <v>-9.0224764893485604E-2</v>
      </c>
      <c r="Q33" s="10">
        <f t="shared" si="7"/>
        <v>1.6707306159287422E-2</v>
      </c>
      <c r="R33" s="10">
        <f t="shared" si="7"/>
        <v>-5.5597866176191252E-2</v>
      </c>
      <c r="S33" s="10">
        <f t="shared" si="7"/>
        <v>-1.1102230246251565E-16</v>
      </c>
      <c r="T33" s="10">
        <f t="shared" si="7"/>
        <v>0.23188152833604062</v>
      </c>
      <c r="U33" s="10">
        <f t="shared" si="7"/>
        <v>-3.7557008668184046E-14</v>
      </c>
      <c r="V33" s="10">
        <f t="shared" si="7"/>
        <v>5.7316058511705757E-3</v>
      </c>
      <c r="W33" s="10">
        <f t="shared" si="7"/>
        <v>-4.7506315697803933E-2</v>
      </c>
      <c r="X33" s="10">
        <f t="shared" si="7"/>
        <v>-0.10950066118046339</v>
      </c>
      <c r="Y33" s="10">
        <f t="shared" si="7"/>
        <v>-4.6510329960685583E-2</v>
      </c>
      <c r="Z33" s="10">
        <f t="shared" si="7"/>
        <v>-1.8959434699300836E-15</v>
      </c>
      <c r="AA33" s="10">
        <f t="shared" si="7"/>
        <v>1.3705736998819065E-2</v>
      </c>
      <c r="AB33" s="10">
        <f t="shared" si="7"/>
        <v>6.9855594999932158E-2</v>
      </c>
      <c r="AC33" s="10">
        <f t="shared" si="7"/>
        <v>9.3120212864936092E-4</v>
      </c>
      <c r="AD33" s="10">
        <f t="shared" si="7"/>
        <v>-5.1747034491110074E-2</v>
      </c>
      <c r="AE33" s="10">
        <f t="shared" si="7"/>
        <v>2.0630513641662076E-15</v>
      </c>
      <c r="AF33" s="10">
        <f t="shared" si="6"/>
        <v>-2.5853505158813964E-2</v>
      </c>
    </row>
    <row r="36" spans="1:32" s="8" customFormat="1" x14ac:dyDescent="0.25">
      <c r="A36" s="7" t="s">
        <v>44</v>
      </c>
      <c r="B36" s="8" t="s">
        <v>12</v>
      </c>
      <c r="C36" s="8" t="s">
        <v>1</v>
      </c>
      <c r="D36" s="8" t="s">
        <v>13</v>
      </c>
      <c r="E36" s="8" t="s">
        <v>27</v>
      </c>
      <c r="F36" s="8" t="s">
        <v>19</v>
      </c>
      <c r="G36" s="8" t="s">
        <v>20</v>
      </c>
      <c r="H36" s="8" t="s">
        <v>24</v>
      </c>
      <c r="I36" s="8" t="s">
        <v>21</v>
      </c>
      <c r="J36" s="8" t="s">
        <v>3</v>
      </c>
      <c r="K36" s="8" t="s">
        <v>16</v>
      </c>
      <c r="L36" s="8" t="s">
        <v>8</v>
      </c>
      <c r="M36" s="8" t="s">
        <v>17</v>
      </c>
      <c r="N36" s="8" t="s">
        <v>18</v>
      </c>
      <c r="O36" s="8" t="s">
        <v>7</v>
      </c>
      <c r="P36" s="8" t="s">
        <v>10</v>
      </c>
      <c r="Q36" s="8" t="s">
        <v>14</v>
      </c>
      <c r="R36" s="8" t="s">
        <v>6</v>
      </c>
      <c r="S36" s="8" t="s">
        <v>5</v>
      </c>
      <c r="T36" s="8" t="s">
        <v>29</v>
      </c>
      <c r="U36" s="8" t="s">
        <v>28</v>
      </c>
      <c r="V36" s="8" t="s">
        <v>15</v>
      </c>
      <c r="W36" s="8" t="s">
        <v>4</v>
      </c>
      <c r="X36" s="8" t="s">
        <v>26</v>
      </c>
      <c r="Y36" s="8" t="s">
        <v>9</v>
      </c>
      <c r="Z36" s="8" t="s">
        <v>23</v>
      </c>
      <c r="AA36" s="8" t="s">
        <v>2</v>
      </c>
      <c r="AB36" s="8" t="s">
        <v>30</v>
      </c>
      <c r="AC36" s="8" t="s">
        <v>25</v>
      </c>
      <c r="AD36" s="8" t="s">
        <v>11</v>
      </c>
      <c r="AE36" s="8" t="s">
        <v>22</v>
      </c>
      <c r="AF36" s="8" t="s">
        <v>37</v>
      </c>
    </row>
    <row r="37" spans="1:32" s="8" customFormat="1" x14ac:dyDescent="0.25">
      <c r="A37" s="11"/>
    </row>
    <row r="38" spans="1:32" s="8" customFormat="1" x14ac:dyDescent="0.25">
      <c r="A38" s="13" t="s">
        <v>46</v>
      </c>
      <c r="B38" s="10">
        <f>B2-B3</f>
        <v>1.2212453270876722E-15</v>
      </c>
      <c r="C38" s="10">
        <f t="shared" ref="C38:AE38" si="8">C2-C3</f>
        <v>0</v>
      </c>
      <c r="D38" s="10">
        <f t="shared" si="8"/>
        <v>1.3483498351243386E-15</v>
      </c>
      <c r="E38" s="10">
        <f t="shared" si="8"/>
        <v>0.47419540634185253</v>
      </c>
      <c r="F38" s="10">
        <f t="shared" si="8"/>
        <v>-4.3364549267018341E-16</v>
      </c>
      <c r="G38" s="10">
        <f t="shared" si="8"/>
        <v>6.3839783401321043E-2</v>
      </c>
      <c r="H38" s="10">
        <f t="shared" si="8"/>
        <v>0.38796089215598423</v>
      </c>
      <c r="I38" s="10">
        <f t="shared" si="8"/>
        <v>2.7108873457214439E-16</v>
      </c>
      <c r="J38" s="10">
        <f t="shared" si="8"/>
        <v>-0.17610091558333077</v>
      </c>
      <c r="K38" s="10">
        <f t="shared" si="8"/>
        <v>0.12705560940729693</v>
      </c>
      <c r="L38" s="10">
        <f t="shared" si="8"/>
        <v>7.5937003335005138E-2</v>
      </c>
      <c r="M38" s="10">
        <f t="shared" si="8"/>
        <v>0.20963565862048597</v>
      </c>
      <c r="N38" s="10">
        <f t="shared" si="8"/>
        <v>0.17988681326643549</v>
      </c>
      <c r="O38" s="10">
        <f t="shared" si="8"/>
        <v>0.33463051432601093</v>
      </c>
      <c r="P38" s="10">
        <f t="shared" si="8"/>
        <v>1.6653345369377348E-16</v>
      </c>
      <c r="Q38" s="10">
        <f t="shared" si="8"/>
        <v>-0.15572938586108359</v>
      </c>
      <c r="R38" s="10">
        <f t="shared" si="8"/>
        <v>-7.0666492406347731E-2</v>
      </c>
      <c r="S38" s="10">
        <f t="shared" si="8"/>
        <v>-1.1102230246251565E-16</v>
      </c>
      <c r="T38" s="10">
        <f t="shared" si="8"/>
        <v>-0.14917472650033192</v>
      </c>
      <c r="U38" s="10">
        <f t="shared" si="8"/>
        <v>2.4757973449140991E-14</v>
      </c>
      <c r="V38" s="10">
        <f t="shared" si="8"/>
        <v>2.55351295663786E-15</v>
      </c>
      <c r="W38" s="10">
        <f t="shared" si="8"/>
        <v>0.13181370736749964</v>
      </c>
      <c r="X38" s="10">
        <f t="shared" si="8"/>
        <v>-5.8666802319558592E-2</v>
      </c>
      <c r="Y38" s="10">
        <f t="shared" si="8"/>
        <v>-1.5870712400515354E-14</v>
      </c>
      <c r="Z38" s="10">
        <f t="shared" si="8"/>
        <v>4.4408920985006262E-16</v>
      </c>
      <c r="AA38" s="10">
        <f t="shared" si="8"/>
        <v>2.5092627490386682E-2</v>
      </c>
      <c r="AB38" s="10">
        <f t="shared" si="8"/>
        <v>-1.2150053370256051E-15</v>
      </c>
      <c r="AC38" s="10">
        <f t="shared" si="8"/>
        <v>-5.0979758600755587E-15</v>
      </c>
      <c r="AD38" s="10">
        <f t="shared" si="8"/>
        <v>1.8041124150158794E-16</v>
      </c>
      <c r="AE38" s="10">
        <f t="shared" si="8"/>
        <v>1.3152122524260287E-14</v>
      </c>
      <c r="AF38" s="10">
        <f>AVERAGE(B38:AE38)</f>
        <v>4.6656989768054914E-2</v>
      </c>
    </row>
    <row r="39" spans="1:32" s="8" customFormat="1" x14ac:dyDescent="0.25">
      <c r="A39" s="13" t="s">
        <v>47</v>
      </c>
      <c r="B39" s="10">
        <f t="shared" ref="B39:AE39" si="9">B3-B4</f>
        <v>3.3306690738754696E-16</v>
      </c>
      <c r="C39" s="10">
        <f t="shared" si="9"/>
        <v>0</v>
      </c>
      <c r="D39" s="10">
        <f t="shared" si="9"/>
        <v>-2.4980018054066022E-16</v>
      </c>
      <c r="E39" s="10">
        <f t="shared" si="9"/>
        <v>-0.70801133222444468</v>
      </c>
      <c r="F39" s="10">
        <f t="shared" si="9"/>
        <v>8.5777257729091149E-16</v>
      </c>
      <c r="G39" s="10">
        <f t="shared" si="9"/>
        <v>9.5501403870973528E-2</v>
      </c>
      <c r="H39" s="10">
        <f t="shared" si="9"/>
        <v>-0.28518320670567504</v>
      </c>
      <c r="I39" s="10">
        <f t="shared" si="9"/>
        <v>3.8367364565409348E-15</v>
      </c>
      <c r="J39" s="10">
        <f t="shared" si="9"/>
        <v>0.17610091558333055</v>
      </c>
      <c r="K39" s="10">
        <f t="shared" si="9"/>
        <v>7.0029180483440201E-3</v>
      </c>
      <c r="L39" s="10">
        <f t="shared" si="9"/>
        <v>-0.22725212923944577</v>
      </c>
      <c r="M39" s="10">
        <f t="shared" si="9"/>
        <v>-0.2539524670017298</v>
      </c>
      <c r="N39" s="10">
        <f t="shared" si="9"/>
        <v>-0.21990857293555907</v>
      </c>
      <c r="O39" s="10">
        <f t="shared" si="9"/>
        <v>-0.43517833114888343</v>
      </c>
      <c r="P39" s="10">
        <f t="shared" si="9"/>
        <v>2.7755575615628914E-17</v>
      </c>
      <c r="Q39" s="10">
        <f t="shared" si="9"/>
        <v>-0.19437451825465918</v>
      </c>
      <c r="R39" s="10">
        <f t="shared" si="9"/>
        <v>-7.4134109093192124E-2</v>
      </c>
      <c r="S39" s="10">
        <f t="shared" si="9"/>
        <v>0</v>
      </c>
      <c r="T39" s="10">
        <f t="shared" si="9"/>
        <v>0.30025307387703892</v>
      </c>
      <c r="U39" s="10">
        <f t="shared" si="9"/>
        <v>-6.3060667798708891E-14</v>
      </c>
      <c r="V39" s="10">
        <f t="shared" si="9"/>
        <v>-1.1102230246251565E-16</v>
      </c>
      <c r="W39" s="10">
        <f t="shared" si="9"/>
        <v>1.4223408609306366E-2</v>
      </c>
      <c r="X39" s="10">
        <f t="shared" si="9"/>
        <v>-9.9860903389171002E-2</v>
      </c>
      <c r="Y39" s="10">
        <f t="shared" si="9"/>
        <v>-6.6613381477509392E-16</v>
      </c>
      <c r="Z39" s="10">
        <f t="shared" si="9"/>
        <v>1.1102230246251565E-15</v>
      </c>
      <c r="AA39" s="10">
        <f t="shared" si="9"/>
        <v>-1.8142541950543017E-2</v>
      </c>
      <c r="AB39" s="10">
        <f t="shared" si="9"/>
        <v>1.9921614542632147E-15</v>
      </c>
      <c r="AC39" s="10">
        <f t="shared" si="9"/>
        <v>5.5511151231257827E-15</v>
      </c>
      <c r="AD39" s="10">
        <f t="shared" si="9"/>
        <v>1.701571714784872E-15</v>
      </c>
      <c r="AE39" s="10">
        <f t="shared" si="9"/>
        <v>-1.2823778860882266E-14</v>
      </c>
      <c r="AF39" s="10">
        <f t="shared" ref="AF39:AF40" si="10">AVERAGE(B39:AE39)</f>
        <v>-6.4097213065145722E-2</v>
      </c>
    </row>
    <row r="40" spans="1:32" s="8" customFormat="1" x14ac:dyDescent="0.25">
      <c r="A40" s="13" t="s">
        <v>48</v>
      </c>
      <c r="B40" s="10">
        <f t="shared" ref="B40:AE40" si="11">B4-B5</f>
        <v>9.1846965996260462E-16</v>
      </c>
      <c r="C40" s="10">
        <f t="shared" si="11"/>
        <v>2.2204460492503131E-16</v>
      </c>
      <c r="D40" s="10">
        <f t="shared" si="11"/>
        <v>-3.3306690738754696E-16</v>
      </c>
      <c r="E40" s="10">
        <f t="shared" si="11"/>
        <v>0.30568203565693514</v>
      </c>
      <c r="F40" s="10">
        <f t="shared" si="11"/>
        <v>-2.2121870024298611E-15</v>
      </c>
      <c r="G40" s="10">
        <f t="shared" si="11"/>
        <v>-7.1534947525155214E-16</v>
      </c>
      <c r="H40" s="10">
        <f t="shared" si="11"/>
        <v>-0.14182178853274591</v>
      </c>
      <c r="I40" s="10">
        <f t="shared" si="11"/>
        <v>-1.1546319456101628E-14</v>
      </c>
      <c r="J40" s="10">
        <f t="shared" si="11"/>
        <v>-0.15665850237730028</v>
      </c>
      <c r="K40" s="10">
        <f t="shared" si="11"/>
        <v>-8.6203727965670524E-2</v>
      </c>
      <c r="L40" s="10">
        <f t="shared" si="11"/>
        <v>7.2962516675874944E-2</v>
      </c>
      <c r="M40" s="10">
        <f t="shared" si="11"/>
        <v>2.4214828093479135E-2</v>
      </c>
      <c r="N40" s="10">
        <f t="shared" si="11"/>
        <v>-1.1991931296643943E-2</v>
      </c>
      <c r="O40" s="10">
        <f t="shared" si="11"/>
        <v>0.69595669829242357</v>
      </c>
      <c r="P40" s="10">
        <f t="shared" si="11"/>
        <v>3.0253577421035516E-15</v>
      </c>
      <c r="Q40" s="10">
        <f t="shared" si="11"/>
        <v>-8.2097941993902523E-2</v>
      </c>
      <c r="R40" s="10">
        <f t="shared" si="11"/>
        <v>3.9043995302857182E-2</v>
      </c>
      <c r="S40" s="10">
        <f t="shared" si="11"/>
        <v>2.2204460492503131E-16</v>
      </c>
      <c r="T40" s="10">
        <f t="shared" si="11"/>
        <v>-0.46376305667208123</v>
      </c>
      <c r="U40" s="10">
        <f t="shared" si="11"/>
        <v>7.5114017336368091E-14</v>
      </c>
      <c r="V40" s="10">
        <f t="shared" si="11"/>
        <v>-3.7344992809891321E-2</v>
      </c>
      <c r="W40" s="10">
        <f t="shared" si="11"/>
        <v>-0.16906450833420203</v>
      </c>
      <c r="X40" s="10">
        <f t="shared" si="11"/>
        <v>0.20634320715953913</v>
      </c>
      <c r="Y40" s="10">
        <f t="shared" si="11"/>
        <v>1.6011100227121458E-14</v>
      </c>
      <c r="Z40" s="10">
        <f t="shared" si="11"/>
        <v>3.7918869398601672E-15</v>
      </c>
      <c r="AA40" s="10">
        <f t="shared" si="11"/>
        <v>-0.31396357125427521</v>
      </c>
      <c r="AB40" s="10">
        <f t="shared" si="11"/>
        <v>4.27607515065006E-16</v>
      </c>
      <c r="AC40" s="10">
        <f t="shared" si="11"/>
        <v>5.1086536838757344E-15</v>
      </c>
      <c r="AD40" s="10">
        <f t="shared" si="11"/>
        <v>1.3568543847626566E-15</v>
      </c>
      <c r="AE40" s="10">
        <f t="shared" si="11"/>
        <v>-4.1261027283324151E-15</v>
      </c>
      <c r="AF40" s="10">
        <f t="shared" si="10"/>
        <v>-3.9568913351838873E-3</v>
      </c>
    </row>
    <row r="43" spans="1:32" x14ac:dyDescent="0.25">
      <c r="A43" s="1" t="s">
        <v>45</v>
      </c>
      <c r="B43" t="s">
        <v>12</v>
      </c>
      <c r="C43" t="s">
        <v>1</v>
      </c>
      <c r="D43" t="s">
        <v>13</v>
      </c>
      <c r="E43" t="s">
        <v>27</v>
      </c>
      <c r="F43" t="s">
        <v>19</v>
      </c>
      <c r="G43" t="s">
        <v>20</v>
      </c>
      <c r="H43" t="s">
        <v>24</v>
      </c>
      <c r="I43" t="s">
        <v>21</v>
      </c>
      <c r="J43" t="s">
        <v>3</v>
      </c>
      <c r="K43" t="s">
        <v>16</v>
      </c>
      <c r="L43" t="s">
        <v>8</v>
      </c>
      <c r="M43" t="s">
        <v>17</v>
      </c>
      <c r="N43" t="s">
        <v>18</v>
      </c>
      <c r="O43" t="s">
        <v>7</v>
      </c>
      <c r="P43" t="s">
        <v>10</v>
      </c>
      <c r="Q43" t="s">
        <v>14</v>
      </c>
      <c r="R43" t="s">
        <v>6</v>
      </c>
      <c r="S43" t="s">
        <v>5</v>
      </c>
      <c r="T43" t="s">
        <v>29</v>
      </c>
      <c r="U43" t="s">
        <v>28</v>
      </c>
      <c r="V43" t="s">
        <v>15</v>
      </c>
      <c r="W43" t="s">
        <v>4</v>
      </c>
      <c r="X43" t="s">
        <v>26</v>
      </c>
      <c r="Y43" t="s">
        <v>9</v>
      </c>
      <c r="Z43" t="s">
        <v>23</v>
      </c>
      <c r="AA43" t="s">
        <v>2</v>
      </c>
      <c r="AB43" t="s">
        <v>30</v>
      </c>
      <c r="AC43" t="s">
        <v>25</v>
      </c>
      <c r="AD43" t="s">
        <v>11</v>
      </c>
      <c r="AE43" t="s">
        <v>22</v>
      </c>
      <c r="AF43" t="s">
        <v>37</v>
      </c>
    </row>
    <row r="44" spans="1:32" x14ac:dyDescent="0.25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f>AVERAGE(B44:AE44)</f>
        <v>0</v>
      </c>
    </row>
    <row r="45" spans="1:32" x14ac:dyDescent="0.25">
      <c r="A45" s="13" t="s">
        <v>46</v>
      </c>
      <c r="B45">
        <f>B44+B24</f>
        <v>-1.9954586095984082E-2</v>
      </c>
      <c r="C45">
        <f t="shared" ref="C45:AE45" si="12">C44+C24</f>
        <v>0</v>
      </c>
      <c r="D45">
        <f t="shared" si="12"/>
        <v>2.6340212829075935E-2</v>
      </c>
      <c r="E45">
        <f t="shared" si="12"/>
        <v>0.45324234197998187</v>
      </c>
      <c r="F45">
        <f t="shared" si="12"/>
        <v>-2.168227463350917E-16</v>
      </c>
      <c r="G45">
        <f t="shared" si="12"/>
        <v>9.8466920140457145E-2</v>
      </c>
      <c r="H45">
        <f t="shared" si="12"/>
        <v>-2.5594151858185282E-2</v>
      </c>
      <c r="I45">
        <f t="shared" si="12"/>
        <v>1.355443672860722E-16</v>
      </c>
      <c r="J45">
        <f t="shared" si="12"/>
        <v>1.5697611649496263E-3</v>
      </c>
      <c r="K45">
        <f t="shared" si="12"/>
        <v>0.18978030352577599</v>
      </c>
      <c r="L45">
        <f t="shared" si="12"/>
        <v>-7.6073754374442373E-2</v>
      </c>
      <c r="M45">
        <f t="shared" si="12"/>
        <v>0.19379833327436799</v>
      </c>
      <c r="N45">
        <f t="shared" si="12"/>
        <v>0.22684004893399906</v>
      </c>
      <c r="O45">
        <f t="shared" si="12"/>
        <v>0.20998238138739098</v>
      </c>
      <c r="P45">
        <f t="shared" si="12"/>
        <v>8.3266726846886741E-17</v>
      </c>
      <c r="Q45">
        <f t="shared" si="12"/>
        <v>4.1954045615603661E-2</v>
      </c>
      <c r="R45">
        <f t="shared" si="12"/>
        <v>-0.12127569661738223</v>
      </c>
      <c r="S45">
        <f t="shared" si="12"/>
        <v>-5.5511151231257827E-17</v>
      </c>
      <c r="T45">
        <f t="shared" si="12"/>
        <v>-0.23830048090973061</v>
      </c>
      <c r="U45">
        <f t="shared" si="12"/>
        <v>1.2378986724570495E-14</v>
      </c>
      <c r="V45">
        <f t="shared" si="12"/>
        <v>2.2857187008205666E-2</v>
      </c>
      <c r="W45">
        <f t="shared" si="12"/>
        <v>6.5906853683749822E-2</v>
      </c>
      <c r="X45">
        <f t="shared" si="12"/>
        <v>-4.4382998964659914E-2</v>
      </c>
      <c r="Y45">
        <f t="shared" si="12"/>
        <v>-5.3370162451727376E-2</v>
      </c>
      <c r="Z45">
        <f t="shared" si="12"/>
        <v>2.2204460492503131E-16</v>
      </c>
      <c r="AA45">
        <f t="shared" si="12"/>
        <v>-5.0460656688992134E-2</v>
      </c>
      <c r="AB45">
        <f t="shared" si="12"/>
        <v>-6.0750266851280257E-16</v>
      </c>
      <c r="AC45">
        <f t="shared" si="12"/>
        <v>-4.4260683631922745E-2</v>
      </c>
      <c r="AD45">
        <f t="shared" si="12"/>
        <v>-9.5160130687616702E-3</v>
      </c>
      <c r="AE45">
        <f t="shared" si="12"/>
        <v>-8.643533800183607E-3</v>
      </c>
      <c r="AF45">
        <f t="shared" ref="AF45:AF47" si="13">AVERAGE(B45:AE45)</f>
        <v>2.7963522369386592E-2</v>
      </c>
    </row>
    <row r="46" spans="1:32" x14ac:dyDescent="0.25">
      <c r="A46" s="13" t="s">
        <v>47</v>
      </c>
      <c r="B46">
        <f t="shared" ref="B46:B47" si="14">B45+B25</f>
        <v>-4.209205967896322E-2</v>
      </c>
      <c r="C46">
        <f t="shared" ref="C46:C47" si="15">C45+C25</f>
        <v>0</v>
      </c>
      <c r="D46">
        <f t="shared" ref="D46:D47" si="16">D45+D25</f>
        <v>1.8297744786407426E-2</v>
      </c>
      <c r="E46">
        <f t="shared" ref="E46:E47" si="17">E45+E25</f>
        <v>9.9236675867759527E-2</v>
      </c>
      <c r="F46">
        <f t="shared" ref="F46:F47" si="18">F45+F25</f>
        <v>-3.6154608673426181E-2</v>
      </c>
      <c r="G46">
        <f t="shared" ref="G46:G47" si="19">G45+G25</f>
        <v>0.19755291996624472</v>
      </c>
      <c r="H46">
        <f t="shared" ref="H46:H47" si="20">H45+H25</f>
        <v>-0.36828835565682105</v>
      </c>
      <c r="I46">
        <f t="shared" ref="I46:I47" si="21">I45+I25</f>
        <v>-4.5302845963886444E-2</v>
      </c>
      <c r="J46">
        <f t="shared" ref="J46:J47" si="22">J45+J25</f>
        <v>0.19860049038417843</v>
      </c>
      <c r="K46">
        <f t="shared" ref="K46:K47" si="23">K45+K25</f>
        <v>0.16430077437423529</v>
      </c>
      <c r="L46">
        <f t="shared" ref="L46:L47" si="24">L45+L25</f>
        <v>-0.29411311104139992</v>
      </c>
      <c r="M46">
        <f t="shared" ref="M46:M47" si="25">M45+M25</f>
        <v>0.15276317939087375</v>
      </c>
      <c r="N46">
        <f t="shared" ref="N46:N47" si="26">N45+N25</f>
        <v>9.9633133869425017E-2</v>
      </c>
      <c r="O46">
        <f t="shared" ref="O46:O47" si="27">O45+O25</f>
        <v>-0.35357521546957182</v>
      </c>
      <c r="P46">
        <f t="shared" ref="P46:P47" si="28">P45+P25</f>
        <v>1.7809815920800609E-2</v>
      </c>
      <c r="Q46">
        <f t="shared" ref="Q46:Q47" si="29">Q45+Q25</f>
        <v>-6.696363941183002E-2</v>
      </c>
      <c r="R46">
        <f t="shared" ref="R46:R47" si="30">R45+R25</f>
        <v>-0.18026571642060712</v>
      </c>
      <c r="S46">
        <f t="shared" ref="S46:S47" si="31">S45+S25</f>
        <v>-5.5511151231257827E-17</v>
      </c>
      <c r="T46">
        <f t="shared" ref="T46:T47" si="32">T45+T25</f>
        <v>-5.0154719589753066E-2</v>
      </c>
      <c r="U46">
        <f t="shared" ref="U46:U47" si="33">U45+U25</f>
        <v>-1.915134717478395E-14</v>
      </c>
      <c r="V46">
        <f t="shared" ref="V46:V47" si="34">V45+V25</f>
        <v>6.2414055475593692E-2</v>
      </c>
      <c r="W46">
        <f t="shared" ref="W46:W47" si="35">W45+W25</f>
        <v>7.301855798840301E-2</v>
      </c>
      <c r="X46">
        <f t="shared" ref="X46:X47" si="36">X45+X25</f>
        <v>-7.5079460910405571E-2</v>
      </c>
      <c r="Y46">
        <f t="shared" ref="Y46:Y47" si="37">Y45+Y25</f>
        <v>2.7424609337069347E-2</v>
      </c>
      <c r="Z46">
        <f t="shared" ref="Z46:Z47" si="38">Z45+Z25</f>
        <v>7.7715611723760958E-16</v>
      </c>
      <c r="AA46">
        <f t="shared" ref="AA46:AA47" si="39">AA45+AA25</f>
        <v>-7.4249959165913412E-2</v>
      </c>
      <c r="AB46">
        <f t="shared" ref="AB46:AB47" si="40">AB45+AB25</f>
        <v>3.8857805861880479E-16</v>
      </c>
      <c r="AC46">
        <f t="shared" ref="AC46:AC47" si="41">AC45+AC25</f>
        <v>-7.441472676554696E-2</v>
      </c>
      <c r="AD46">
        <f t="shared" ref="AD46:AD47" si="42">AD45+AD25</f>
        <v>6.5854218319625984E-2</v>
      </c>
      <c r="AE46">
        <f t="shared" ref="AE46:AE47" si="43">AE45+AE25</f>
        <v>-8.6435338001900185E-3</v>
      </c>
      <c r="AF46">
        <f t="shared" si="13"/>
        <v>-1.6413059228923867E-2</v>
      </c>
    </row>
    <row r="47" spans="1:32" x14ac:dyDescent="0.25">
      <c r="A47" s="13" t="s">
        <v>48</v>
      </c>
      <c r="B47">
        <f t="shared" si="14"/>
        <v>-4.2092059678962762E-2</v>
      </c>
      <c r="C47">
        <f t="shared" si="15"/>
        <v>1.1102230246251565E-16</v>
      </c>
      <c r="D47">
        <f t="shared" si="16"/>
        <v>-8.8097275859976107E-2</v>
      </c>
      <c r="E47">
        <f t="shared" si="17"/>
        <v>0.56742910422257764</v>
      </c>
      <c r="F47">
        <f t="shared" si="18"/>
        <v>-6.3057897990012116E-2</v>
      </c>
      <c r="G47">
        <f t="shared" si="19"/>
        <v>0.18074054478420767</v>
      </c>
      <c r="H47">
        <f t="shared" si="20"/>
        <v>-0.6914552687296952</v>
      </c>
      <c r="I47">
        <f t="shared" si="21"/>
        <v>-4.5302845963892217E-2</v>
      </c>
      <c r="J47">
        <f t="shared" si="22"/>
        <v>0.22118845915827456</v>
      </c>
      <c r="K47">
        <f t="shared" si="23"/>
        <v>-3.1547948305204243E-2</v>
      </c>
      <c r="L47">
        <f t="shared" si="24"/>
        <v>-0.37434783928024029</v>
      </c>
      <c r="M47">
        <f t="shared" si="25"/>
        <v>0.16465019251795371</v>
      </c>
      <c r="N47">
        <f t="shared" si="26"/>
        <v>9.6206204370048676E-2</v>
      </c>
      <c r="O47">
        <f t="shared" si="27"/>
        <v>-0.1146456753822262</v>
      </c>
      <c r="P47">
        <f t="shared" si="28"/>
        <v>-7.241494897268197E-2</v>
      </c>
      <c r="Q47">
        <f t="shared" si="29"/>
        <v>-0.13235427524644511</v>
      </c>
      <c r="R47">
        <f t="shared" si="30"/>
        <v>-0.1968195872939412</v>
      </c>
      <c r="S47">
        <f t="shared" si="31"/>
        <v>5.5511151231257827E-17</v>
      </c>
      <c r="T47">
        <f t="shared" si="32"/>
        <v>-0.28203624792579368</v>
      </c>
      <c r="U47">
        <f t="shared" si="33"/>
        <v>1.8405661493400095E-14</v>
      </c>
      <c r="V47">
        <f t="shared" si="34"/>
        <v>3.0800668516872944E-2</v>
      </c>
      <c r="W47">
        <f t="shared" si="35"/>
        <v>-0.14355226604360294</v>
      </c>
      <c r="X47">
        <f t="shared" si="36"/>
        <v>2.1763085068670168E-2</v>
      </c>
      <c r="Y47">
        <f t="shared" si="37"/>
        <v>-1.9085720623600221E-2</v>
      </c>
      <c r="Z47">
        <f t="shared" si="38"/>
        <v>2.6730995871676932E-15</v>
      </c>
      <c r="AA47">
        <f t="shared" si="39"/>
        <v>-0.37450779342136958</v>
      </c>
      <c r="AB47">
        <f t="shared" si="40"/>
        <v>6.9855594999932963E-2</v>
      </c>
      <c r="AC47">
        <f t="shared" si="41"/>
        <v>-7.3483524636892492E-2</v>
      </c>
      <c r="AD47">
        <f t="shared" si="42"/>
        <v>1.4107183828517257E-2</v>
      </c>
      <c r="AE47">
        <f t="shared" si="43"/>
        <v>-8.6435338001920811E-3</v>
      </c>
      <c r="AF47">
        <f t="shared" si="13"/>
        <v>-4.6223455722921726E-2</v>
      </c>
    </row>
    <row r="50" spans="1:32" x14ac:dyDescent="0.25">
      <c r="A50" t="s">
        <v>41</v>
      </c>
      <c r="B50" t="s">
        <v>12</v>
      </c>
      <c r="C50" t="s">
        <v>1</v>
      </c>
      <c r="D50" t="s">
        <v>13</v>
      </c>
      <c r="E50" t="s">
        <v>27</v>
      </c>
      <c r="F50" t="s">
        <v>19</v>
      </c>
      <c r="G50" t="s">
        <v>20</v>
      </c>
      <c r="H50" t="s">
        <v>24</v>
      </c>
      <c r="I50" t="s">
        <v>21</v>
      </c>
      <c r="J50" t="s">
        <v>3</v>
      </c>
      <c r="K50" t="s">
        <v>16</v>
      </c>
      <c r="L50" t="s">
        <v>8</v>
      </c>
      <c r="M50" t="s">
        <v>17</v>
      </c>
      <c r="N50" t="s">
        <v>18</v>
      </c>
      <c r="O50" t="s">
        <v>7</v>
      </c>
      <c r="P50" t="s">
        <v>10</v>
      </c>
      <c r="Q50" t="s">
        <v>14</v>
      </c>
      <c r="R50" t="s">
        <v>6</v>
      </c>
      <c r="S50" t="s">
        <v>5</v>
      </c>
      <c r="T50" t="s">
        <v>29</v>
      </c>
      <c r="U50" t="s">
        <v>28</v>
      </c>
      <c r="V50" t="s">
        <v>15</v>
      </c>
      <c r="W50" t="s">
        <v>4</v>
      </c>
      <c r="X50" t="s">
        <v>26</v>
      </c>
      <c r="Y50" t="s">
        <v>9</v>
      </c>
      <c r="Z50" t="s">
        <v>23</v>
      </c>
      <c r="AA50" t="s">
        <v>2</v>
      </c>
      <c r="AB50" t="s">
        <v>30</v>
      </c>
      <c r="AC50" t="s">
        <v>25</v>
      </c>
      <c r="AD50" t="s">
        <v>11</v>
      </c>
      <c r="AE50" t="s">
        <v>22</v>
      </c>
      <c r="AF50" t="s">
        <v>37</v>
      </c>
    </row>
    <row r="51" spans="1:32" x14ac:dyDescent="0.25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f>AVERAGE(B51:AE51)</f>
        <v>0</v>
      </c>
    </row>
    <row r="52" spans="1:32" x14ac:dyDescent="0.25">
      <c r="A52" s="13" t="s">
        <v>46</v>
      </c>
      <c r="B52">
        <f>B51+B31</f>
        <v>-1.9954586095985303E-2</v>
      </c>
      <c r="C52">
        <f t="shared" ref="C52:AE52" si="44">C51+C31</f>
        <v>0</v>
      </c>
      <c r="D52">
        <f t="shared" si="44"/>
        <v>2.6340212829074588E-2</v>
      </c>
      <c r="E52">
        <f t="shared" si="44"/>
        <v>-2.0953064361870666E-2</v>
      </c>
      <c r="F52">
        <f t="shared" si="44"/>
        <v>2.168227463350917E-16</v>
      </c>
      <c r="G52">
        <f t="shared" si="44"/>
        <v>3.4627136739136102E-2</v>
      </c>
      <c r="H52">
        <f t="shared" si="44"/>
        <v>-0.41355504401416954</v>
      </c>
      <c r="I52">
        <f t="shared" si="44"/>
        <v>-1.355443672860722E-16</v>
      </c>
      <c r="J52">
        <f t="shared" si="44"/>
        <v>0.17767067674828041</v>
      </c>
      <c r="K52">
        <f t="shared" si="44"/>
        <v>6.2724694118479057E-2</v>
      </c>
      <c r="L52">
        <f t="shared" si="44"/>
        <v>-0.1520107577094475</v>
      </c>
      <c r="M52">
        <f t="shared" si="44"/>
        <v>-1.5837325346117995E-2</v>
      </c>
      <c r="N52">
        <f t="shared" si="44"/>
        <v>4.6953235667563598E-2</v>
      </c>
      <c r="O52">
        <f t="shared" si="44"/>
        <v>-0.12464813293861995</v>
      </c>
      <c r="P52">
        <f t="shared" si="44"/>
        <v>-8.3266726846886741E-17</v>
      </c>
      <c r="Q52">
        <f t="shared" si="44"/>
        <v>0.19768343147668727</v>
      </c>
      <c r="R52">
        <f t="shared" si="44"/>
        <v>-5.06092042110345E-2</v>
      </c>
      <c r="S52">
        <f t="shared" si="44"/>
        <v>5.5511151231257827E-17</v>
      </c>
      <c r="T52">
        <f t="shared" si="44"/>
        <v>-8.9125754409398683E-2</v>
      </c>
      <c r="U52">
        <f t="shared" si="44"/>
        <v>-1.2378986724570495E-14</v>
      </c>
      <c r="V52">
        <f t="shared" si="44"/>
        <v>2.2857187008203113E-2</v>
      </c>
      <c r="W52">
        <f t="shared" si="44"/>
        <v>-6.5906853683749822E-2</v>
      </c>
      <c r="X52">
        <f t="shared" si="44"/>
        <v>1.4283803354898678E-2</v>
      </c>
      <c r="Y52">
        <f t="shared" si="44"/>
        <v>-5.33701624517115E-2</v>
      </c>
      <c r="Z52">
        <f t="shared" si="44"/>
        <v>-2.2204460492503131E-16</v>
      </c>
      <c r="AA52">
        <f t="shared" si="44"/>
        <v>-7.5553284179378816E-2</v>
      </c>
      <c r="AB52">
        <f t="shared" si="44"/>
        <v>6.0750266851280257E-16</v>
      </c>
      <c r="AC52">
        <f t="shared" si="44"/>
        <v>-4.4260683631917652E-2</v>
      </c>
      <c r="AD52">
        <f t="shared" si="44"/>
        <v>-9.5160130687618506E-3</v>
      </c>
      <c r="AE52">
        <f t="shared" si="44"/>
        <v>-8.6435338001967597E-3</v>
      </c>
      <c r="AF52">
        <f t="shared" ref="AF52:AF54" si="45">AVERAGE(B52:AE52)</f>
        <v>-1.8693467398668322E-2</v>
      </c>
    </row>
    <row r="53" spans="1:32" x14ac:dyDescent="0.25">
      <c r="A53" s="13" t="s">
        <v>47</v>
      </c>
      <c r="B53">
        <f t="shared" ref="B53:B54" si="46">B52+B32</f>
        <v>-4.2092059678964774E-2</v>
      </c>
      <c r="C53">
        <f t="shared" ref="C53:C54" si="47">C52+C32</f>
        <v>0</v>
      </c>
      <c r="D53">
        <f t="shared" ref="D53:D54" si="48">D52+D32</f>
        <v>1.829774478640633E-2</v>
      </c>
      <c r="E53">
        <f t="shared" ref="E53:E54" si="49">E52+E32</f>
        <v>0.33305260175035167</v>
      </c>
      <c r="F53">
        <f t="shared" ref="F53:F54" si="50">F52+F32</f>
        <v>-3.6154608673426611E-2</v>
      </c>
      <c r="G53">
        <f t="shared" ref="G53:G54" si="51">G52+G32</f>
        <v>3.8211732693950146E-2</v>
      </c>
      <c r="H53">
        <f t="shared" ref="H53:H54" si="52">H52+H32</f>
        <v>-0.47106604110713035</v>
      </c>
      <c r="I53">
        <f t="shared" ref="I53:I54" si="53">I52+I32</f>
        <v>-4.5302845963890552E-2</v>
      </c>
      <c r="J53">
        <f t="shared" ref="J53:J54" si="54">J52+J32</f>
        <v>0.19860049038417865</v>
      </c>
      <c r="K53">
        <f t="shared" ref="K53:K54" si="55">K52+K32</f>
        <v>3.024224691859434E-2</v>
      </c>
      <c r="L53">
        <f t="shared" ref="L53:L54" si="56">L52+L32</f>
        <v>-0.14279798513695929</v>
      </c>
      <c r="M53">
        <f t="shared" ref="M53:M54" si="57">M52+M32</f>
        <v>0.19707998777211755</v>
      </c>
      <c r="N53">
        <f t="shared" ref="N53:N54" si="58">N52+N32</f>
        <v>0.1396548935385486</v>
      </c>
      <c r="O53">
        <f t="shared" ref="O53:O54" si="59">O52+O32</f>
        <v>-0.25302739864669938</v>
      </c>
      <c r="P53">
        <f t="shared" ref="P53:P54" si="60">P52+P32</f>
        <v>1.7809815920800415E-2</v>
      </c>
      <c r="Q53">
        <f t="shared" ref="Q53:Q54" si="61">Q52+Q32</f>
        <v>0.28314026470391274</v>
      </c>
      <c r="R53">
        <f t="shared" ref="R53:R54" si="62">R52+R32</f>
        <v>-3.5465114921067284E-2</v>
      </c>
      <c r="S53">
        <f t="shared" ref="S53:S54" si="63">S52+S32</f>
        <v>5.5511151231257827E-17</v>
      </c>
      <c r="T53">
        <f t="shared" ref="T53:T54" si="64">T52+T32</f>
        <v>-0.20123306696646007</v>
      </c>
      <c r="U53">
        <f t="shared" ref="U53:U54" si="65">U52+U32</f>
        <v>1.915134717478395E-14</v>
      </c>
      <c r="V53">
        <f t="shared" ref="V53:V54" si="66">V52+V32</f>
        <v>6.241405547559125E-2</v>
      </c>
      <c r="W53">
        <f t="shared" ref="W53:W54" si="67">W52+W32</f>
        <v>-7.301855798840301E-2</v>
      </c>
      <c r="X53">
        <f t="shared" ref="X53:X54" si="68">X52+X32</f>
        <v>8.3448244798324009E-2</v>
      </c>
      <c r="Y53">
        <f t="shared" ref="Y53:Y54" si="69">Y52+Y32</f>
        <v>2.742460933708589E-2</v>
      </c>
      <c r="Z53">
        <f t="shared" ref="Z53:Z54" si="70">Z52+Z32</f>
        <v>-7.7715611723760958E-16</v>
      </c>
      <c r="AA53">
        <f t="shared" ref="AA53:AA54" si="71">AA52+AA32</f>
        <v>-8.1200044705757077E-2</v>
      </c>
      <c r="AB53">
        <f t="shared" ref="AB53:AB54" si="72">AB52+AB32</f>
        <v>-3.8857805861880479E-16</v>
      </c>
      <c r="AC53">
        <f t="shared" ref="AC53:AC54" si="73">AC52+AC32</f>
        <v>-7.4414726765547418E-2</v>
      </c>
      <c r="AD53">
        <f t="shared" ref="AD53:AD54" si="74">AD52+AD32</f>
        <v>6.5854218319624097E-2</v>
      </c>
      <c r="AE53">
        <f t="shared" ref="AE53:AE54" si="75">AE52+AE32</f>
        <v>-8.6435338001903481E-3</v>
      </c>
      <c r="AF53">
        <f t="shared" si="45"/>
        <v>1.0271640681669158E-3</v>
      </c>
    </row>
    <row r="54" spans="1:32" x14ac:dyDescent="0.25">
      <c r="A54" s="13" t="s">
        <v>48</v>
      </c>
      <c r="B54">
        <f t="shared" si="46"/>
        <v>-4.2092059678965232E-2</v>
      </c>
      <c r="C54">
        <f t="shared" si="47"/>
        <v>-1.1102230246251565E-16</v>
      </c>
      <c r="D54">
        <f t="shared" si="48"/>
        <v>-8.809727585997687E-2</v>
      </c>
      <c r="E54">
        <f t="shared" si="49"/>
        <v>0.49556299444823459</v>
      </c>
      <c r="F54">
        <f t="shared" si="50"/>
        <v>-6.3057897990010325E-2</v>
      </c>
      <c r="G54">
        <f t="shared" si="51"/>
        <v>2.1399357511913811E-2</v>
      </c>
      <c r="H54">
        <f t="shared" si="52"/>
        <v>-0.65241116564725854</v>
      </c>
      <c r="I54">
        <f t="shared" si="53"/>
        <v>-4.5302845963884779E-2</v>
      </c>
      <c r="J54">
        <f t="shared" si="54"/>
        <v>0.37784696153557507</v>
      </c>
      <c r="K54">
        <f t="shared" si="55"/>
        <v>-7.9402747795174686E-2</v>
      </c>
      <c r="L54">
        <f t="shared" si="56"/>
        <v>-0.29599523005167461</v>
      </c>
      <c r="M54">
        <f t="shared" si="57"/>
        <v>0.18475217280571837</v>
      </c>
      <c r="N54">
        <f t="shared" si="58"/>
        <v>0.1482198953358162</v>
      </c>
      <c r="O54">
        <f t="shared" si="59"/>
        <v>-0.71005455685177732</v>
      </c>
      <c r="P54">
        <f t="shared" si="60"/>
        <v>-7.2414948972685189E-2</v>
      </c>
      <c r="Q54">
        <f t="shared" si="61"/>
        <v>0.29984757086320013</v>
      </c>
      <c r="R54">
        <f t="shared" si="62"/>
        <v>-9.1062981097258536E-2</v>
      </c>
      <c r="S54">
        <f t="shared" si="63"/>
        <v>-5.5511151231257827E-17</v>
      </c>
      <c r="T54">
        <f t="shared" si="64"/>
        <v>3.0648461369580549E-2</v>
      </c>
      <c r="U54">
        <f t="shared" si="65"/>
        <v>-1.8405661493400095E-14</v>
      </c>
      <c r="V54">
        <f t="shared" si="66"/>
        <v>6.8145661326761822E-2</v>
      </c>
      <c r="W54">
        <f t="shared" si="67"/>
        <v>-0.12052487368620694</v>
      </c>
      <c r="X54">
        <f t="shared" si="68"/>
        <v>-2.6052416382139384E-2</v>
      </c>
      <c r="Y54">
        <f t="shared" si="69"/>
        <v>-1.9085720623599693E-2</v>
      </c>
      <c r="Z54">
        <f t="shared" si="70"/>
        <v>-2.6730995871676932E-15</v>
      </c>
      <c r="AA54">
        <f t="shared" si="71"/>
        <v>-6.7494307706938012E-2</v>
      </c>
      <c r="AB54">
        <f t="shared" si="72"/>
        <v>6.9855594999931769E-2</v>
      </c>
      <c r="AC54">
        <f t="shared" si="73"/>
        <v>-7.3483524636898057E-2</v>
      </c>
      <c r="AD54">
        <f t="shared" si="74"/>
        <v>1.4107183828514024E-2</v>
      </c>
      <c r="AE54">
        <f t="shared" si="75"/>
        <v>-8.6435338001882855E-3</v>
      </c>
      <c r="AF54">
        <f t="shared" si="45"/>
        <v>-2.4826341090647037E-2</v>
      </c>
    </row>
    <row r="57" spans="1:32" x14ac:dyDescent="0.25">
      <c r="A57" t="s">
        <v>43</v>
      </c>
      <c r="B57" t="s">
        <v>12</v>
      </c>
      <c r="C57" t="s">
        <v>1</v>
      </c>
      <c r="D57" t="s">
        <v>13</v>
      </c>
      <c r="E57" t="s">
        <v>27</v>
      </c>
      <c r="F57" t="s">
        <v>19</v>
      </c>
      <c r="G57" t="s">
        <v>20</v>
      </c>
      <c r="H57" t="s">
        <v>24</v>
      </c>
      <c r="I57" t="s">
        <v>21</v>
      </c>
      <c r="J57" t="s">
        <v>3</v>
      </c>
      <c r="K57" t="s">
        <v>16</v>
      </c>
      <c r="L57" t="s">
        <v>8</v>
      </c>
      <c r="M57" t="s">
        <v>17</v>
      </c>
      <c r="N57" t="s">
        <v>18</v>
      </c>
      <c r="O57" t="s">
        <v>7</v>
      </c>
      <c r="P57" t="s">
        <v>10</v>
      </c>
      <c r="Q57" t="s">
        <v>14</v>
      </c>
      <c r="R57" t="s">
        <v>6</v>
      </c>
      <c r="S57" t="s">
        <v>5</v>
      </c>
      <c r="T57" t="s">
        <v>29</v>
      </c>
      <c r="U57" t="s">
        <v>28</v>
      </c>
      <c r="V57" t="s">
        <v>15</v>
      </c>
      <c r="W57" t="s">
        <v>4</v>
      </c>
      <c r="X57" t="s">
        <v>26</v>
      </c>
      <c r="Y57" t="s">
        <v>9</v>
      </c>
      <c r="Z57" t="s">
        <v>23</v>
      </c>
      <c r="AA57" t="s">
        <v>2</v>
      </c>
      <c r="AB57" t="s">
        <v>30</v>
      </c>
      <c r="AC57" t="s">
        <v>25</v>
      </c>
      <c r="AD57" t="s">
        <v>11</v>
      </c>
      <c r="AE57" t="s">
        <v>22</v>
      </c>
      <c r="AF57" t="s">
        <v>37</v>
      </c>
    </row>
    <row r="58" spans="1:32" x14ac:dyDescent="0.25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f>AVERAGE(B58:AE58)</f>
        <v>0</v>
      </c>
    </row>
    <row r="59" spans="1:32" x14ac:dyDescent="0.25">
      <c r="A59" s="13" t="s">
        <v>46</v>
      </c>
      <c r="B59">
        <f>B58+B38</f>
        <v>1.2212453270876722E-15</v>
      </c>
      <c r="C59">
        <f t="shared" ref="C59:AE59" si="76">C58+C38</f>
        <v>0</v>
      </c>
      <c r="D59">
        <f t="shared" si="76"/>
        <v>1.3483498351243386E-15</v>
      </c>
      <c r="E59">
        <f t="shared" si="76"/>
        <v>0.47419540634185253</v>
      </c>
      <c r="F59">
        <f t="shared" si="76"/>
        <v>-4.3364549267018341E-16</v>
      </c>
      <c r="G59">
        <f t="shared" si="76"/>
        <v>6.3839783401321043E-2</v>
      </c>
      <c r="H59">
        <f t="shared" si="76"/>
        <v>0.38796089215598423</v>
      </c>
      <c r="I59">
        <f t="shared" si="76"/>
        <v>2.7108873457214439E-16</v>
      </c>
      <c r="J59">
        <f t="shared" si="76"/>
        <v>-0.17610091558333077</v>
      </c>
      <c r="K59">
        <f t="shared" si="76"/>
        <v>0.12705560940729693</v>
      </c>
      <c r="L59">
        <f t="shared" si="76"/>
        <v>7.5937003335005138E-2</v>
      </c>
      <c r="M59">
        <f t="shared" si="76"/>
        <v>0.20963565862048597</v>
      </c>
      <c r="N59">
        <f t="shared" si="76"/>
        <v>0.17988681326643549</v>
      </c>
      <c r="O59">
        <f t="shared" si="76"/>
        <v>0.33463051432601093</v>
      </c>
      <c r="P59">
        <f t="shared" si="76"/>
        <v>1.6653345369377348E-16</v>
      </c>
      <c r="Q59">
        <f t="shared" si="76"/>
        <v>-0.15572938586108359</v>
      </c>
      <c r="R59">
        <f t="shared" si="76"/>
        <v>-7.0666492406347731E-2</v>
      </c>
      <c r="S59">
        <f t="shared" si="76"/>
        <v>-1.1102230246251565E-16</v>
      </c>
      <c r="T59">
        <f t="shared" si="76"/>
        <v>-0.14917472650033192</v>
      </c>
      <c r="U59">
        <f t="shared" si="76"/>
        <v>2.4757973449140991E-14</v>
      </c>
      <c r="V59">
        <f t="shared" si="76"/>
        <v>2.55351295663786E-15</v>
      </c>
      <c r="W59">
        <f t="shared" si="76"/>
        <v>0.13181370736749964</v>
      </c>
      <c r="X59">
        <f t="shared" si="76"/>
        <v>-5.8666802319558592E-2</v>
      </c>
      <c r="Y59">
        <f t="shared" si="76"/>
        <v>-1.5870712400515354E-14</v>
      </c>
      <c r="Z59">
        <f t="shared" si="76"/>
        <v>4.4408920985006262E-16</v>
      </c>
      <c r="AA59">
        <f t="shared" si="76"/>
        <v>2.5092627490386682E-2</v>
      </c>
      <c r="AB59">
        <f t="shared" si="76"/>
        <v>-1.2150053370256051E-15</v>
      </c>
      <c r="AC59">
        <f t="shared" si="76"/>
        <v>-5.0979758600755587E-15</v>
      </c>
      <c r="AD59">
        <f t="shared" si="76"/>
        <v>1.8041124150158794E-16</v>
      </c>
      <c r="AE59">
        <f t="shared" si="76"/>
        <v>1.3152122524260287E-14</v>
      </c>
      <c r="AF59">
        <f t="shared" ref="AF59:AF61" si="77">AVERAGE(B59:AE59)</f>
        <v>4.6656989768054914E-2</v>
      </c>
    </row>
    <row r="60" spans="1:32" x14ac:dyDescent="0.25">
      <c r="A60" s="13" t="s">
        <v>47</v>
      </c>
      <c r="B60">
        <f t="shared" ref="B60:B61" si="78">B59+B39</f>
        <v>1.5543122344752192E-15</v>
      </c>
      <c r="C60">
        <f t="shared" ref="C60:C61" si="79">C59+C39</f>
        <v>0</v>
      </c>
      <c r="D60">
        <f t="shared" ref="D60:D61" si="80">D59+D39</f>
        <v>1.0985496545836784E-15</v>
      </c>
      <c r="E60">
        <f t="shared" ref="E60:E61" si="81">E59+E39</f>
        <v>-0.23381592588259215</v>
      </c>
      <c r="F60">
        <f t="shared" ref="F60:F61" si="82">F59+F39</f>
        <v>4.2412708462072808E-16</v>
      </c>
      <c r="G60">
        <f t="shared" ref="G60:G61" si="83">G59+G39</f>
        <v>0.15934118727229457</v>
      </c>
      <c r="H60">
        <f t="shared" ref="H60:H61" si="84">H59+H39</f>
        <v>0.10277768545030919</v>
      </c>
      <c r="I60">
        <f t="shared" ref="I60:I61" si="85">I59+I39</f>
        <v>4.1078251911130792E-15</v>
      </c>
      <c r="J60">
        <f t="shared" ref="J60:J61" si="86">J59+J39</f>
        <v>-2.2204460492503131E-16</v>
      </c>
      <c r="K60">
        <f t="shared" ref="K60:K61" si="87">K59+K39</f>
        <v>0.13405852745564095</v>
      </c>
      <c r="L60">
        <f t="shared" ref="L60:L61" si="88">L59+L39</f>
        <v>-0.15131512590444063</v>
      </c>
      <c r="M60">
        <f t="shared" ref="M60:M61" si="89">M59+M39</f>
        <v>-4.4316808381243827E-2</v>
      </c>
      <c r="N60">
        <f t="shared" ref="N60:N61" si="90">N59+N39</f>
        <v>-4.002175966912358E-2</v>
      </c>
      <c r="O60">
        <f t="shared" ref="O60:O61" si="91">O59+O39</f>
        <v>-0.1005478168228725</v>
      </c>
      <c r="P60">
        <f t="shared" ref="P60:P61" si="92">P59+P39</f>
        <v>1.9428902930940239E-16</v>
      </c>
      <c r="Q60">
        <f t="shared" ref="Q60:Q61" si="93">Q59+Q39</f>
        <v>-0.35010390411574277</v>
      </c>
      <c r="R60">
        <f t="shared" ref="R60:R61" si="94">R59+R39</f>
        <v>-0.14480060149953985</v>
      </c>
      <c r="S60">
        <f t="shared" ref="S60:S61" si="95">S59+S39</f>
        <v>-1.1102230246251565E-16</v>
      </c>
      <c r="T60">
        <f t="shared" ref="T60:T61" si="96">T59+T39</f>
        <v>0.151078347376707</v>
      </c>
      <c r="U60">
        <f t="shared" ref="U60:U61" si="97">U59+U39</f>
        <v>-3.8302694349567901E-14</v>
      </c>
      <c r="V60">
        <f t="shared" ref="V60:V61" si="98">V59+V39</f>
        <v>2.4424906541753444E-15</v>
      </c>
      <c r="W60">
        <f t="shared" ref="W60:W61" si="99">W59+W39</f>
        <v>0.14603711597680602</v>
      </c>
      <c r="X60">
        <f t="shared" ref="X60:X61" si="100">X59+X39</f>
        <v>-0.15852770570872959</v>
      </c>
      <c r="Y60">
        <f t="shared" ref="Y60:Y61" si="101">Y59+Y39</f>
        <v>-1.6536846215290448E-14</v>
      </c>
      <c r="Z60">
        <f t="shared" ref="Z60:Z61" si="102">Z59+Z39</f>
        <v>1.5543122344752192E-15</v>
      </c>
      <c r="AA60">
        <f t="shared" ref="AA60:AA61" si="103">AA59+AA39</f>
        <v>6.9500855398436645E-3</v>
      </c>
      <c r="AB60">
        <f t="shared" ref="AB60:AB61" si="104">AB59+AB39</f>
        <v>7.7715611723760958E-16</v>
      </c>
      <c r="AC60">
        <f t="shared" ref="AC60:AC61" si="105">AC59+AC39</f>
        <v>4.5313926305022401E-16</v>
      </c>
      <c r="AD60">
        <f t="shared" ref="AD60:AD61" si="106">AD59+AD39</f>
        <v>1.8819829562864599E-15</v>
      </c>
      <c r="AE60">
        <f t="shared" ref="AE60:AE61" si="107">AE59+AE39</f>
        <v>3.2834366337802098E-16</v>
      </c>
      <c r="AF60">
        <f t="shared" si="77"/>
        <v>-1.7440223297090798E-2</v>
      </c>
    </row>
    <row r="61" spans="1:32" x14ac:dyDescent="0.25">
      <c r="A61" s="13" t="s">
        <v>48</v>
      </c>
      <c r="B61">
        <f t="shared" si="78"/>
        <v>2.4727818944378238E-15</v>
      </c>
      <c r="C61">
        <f t="shared" si="79"/>
        <v>2.2204460492503131E-16</v>
      </c>
      <c r="D61">
        <f t="shared" si="80"/>
        <v>7.6548274719613143E-16</v>
      </c>
      <c r="E61">
        <f t="shared" si="81"/>
        <v>7.186610977434299E-2</v>
      </c>
      <c r="F61">
        <f t="shared" si="82"/>
        <v>-1.788059917809133E-15</v>
      </c>
      <c r="G61">
        <f t="shared" si="83"/>
        <v>0.15934118727229385</v>
      </c>
      <c r="H61">
        <f t="shared" si="84"/>
        <v>-3.9044103082436721E-2</v>
      </c>
      <c r="I61">
        <f t="shared" si="85"/>
        <v>-7.4384942649885488E-15</v>
      </c>
      <c r="J61">
        <f t="shared" si="86"/>
        <v>-0.1566585023773005</v>
      </c>
      <c r="K61">
        <f t="shared" si="87"/>
        <v>4.7854799489970429E-2</v>
      </c>
      <c r="L61">
        <f t="shared" si="88"/>
        <v>-7.8352609228565684E-2</v>
      </c>
      <c r="M61">
        <f t="shared" si="89"/>
        <v>-2.0101980287764692E-2</v>
      </c>
      <c r="N61">
        <f t="shared" si="90"/>
        <v>-5.2013690965767523E-2</v>
      </c>
      <c r="O61">
        <f t="shared" si="91"/>
        <v>0.59540888146955107</v>
      </c>
      <c r="P61">
        <f t="shared" si="92"/>
        <v>3.219646771412954E-15</v>
      </c>
      <c r="Q61">
        <f t="shared" si="93"/>
        <v>-0.43220184610964529</v>
      </c>
      <c r="R61">
        <f t="shared" si="94"/>
        <v>-0.10575660619668267</v>
      </c>
      <c r="S61">
        <f t="shared" si="95"/>
        <v>1.1102230246251565E-16</v>
      </c>
      <c r="T61">
        <f t="shared" si="96"/>
        <v>-0.31268470929537423</v>
      </c>
      <c r="U61">
        <f t="shared" si="97"/>
        <v>3.6811322986800191E-14</v>
      </c>
      <c r="V61">
        <f t="shared" si="98"/>
        <v>-3.7344992809888879E-2</v>
      </c>
      <c r="W61">
        <f t="shared" si="99"/>
        <v>-2.3027392357396009E-2</v>
      </c>
      <c r="X61">
        <f t="shared" si="100"/>
        <v>4.7815501450809539E-2</v>
      </c>
      <c r="Y61">
        <f t="shared" si="101"/>
        <v>-5.2574598816899018E-16</v>
      </c>
      <c r="Z61">
        <f t="shared" si="102"/>
        <v>5.3461991743353864E-15</v>
      </c>
      <c r="AA61">
        <f t="shared" si="103"/>
        <v>-0.30701348571443154</v>
      </c>
      <c r="AB61">
        <f t="shared" si="104"/>
        <v>1.2047636323026156E-15</v>
      </c>
      <c r="AC61">
        <f t="shared" si="105"/>
        <v>5.5617929469259584E-15</v>
      </c>
      <c r="AD61">
        <f t="shared" si="106"/>
        <v>3.2388373410491164E-15</v>
      </c>
      <c r="AE61">
        <f t="shared" si="107"/>
        <v>-3.7977590649543942E-15</v>
      </c>
      <c r="AF61">
        <f t="shared" si="77"/>
        <v>-2.1397114632274679E-2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Results</vt:lpstr>
      <vt:lpstr>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shuqi xu</cp:lastModifiedBy>
  <dcterms:created xsi:type="dcterms:W3CDTF">2020-04-29T05:46:00Z</dcterms:created>
  <dcterms:modified xsi:type="dcterms:W3CDTF">2026-03-30T03:54:11Z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